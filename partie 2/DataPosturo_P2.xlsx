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#DD\UBS\Enseignement\STA1604\"/>
    </mc:Choice>
  </mc:AlternateContent>
  <xr:revisionPtr revIDLastSave="0" documentId="13_ncr:1_{92C55B03-9D9C-42CC-BDBC-9EB9AACA1117}" xr6:coauthVersionLast="36" xr6:coauthVersionMax="36" xr10:uidLastSave="{00000000-0000-0000-0000-000000000000}"/>
  <bookViews>
    <workbookView xWindow="0" yWindow="0" windowWidth="17256" windowHeight="7848" tabRatio="592" activeTab="1" xr2:uid="{67910697-D628-4F78-BB59-26F77730381C}"/>
  </bookViews>
  <sheets>
    <sheet name="data4stats_Abs" sheetId="3" r:id="rId1"/>
    <sheet name="Descriptif variable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2" i="3" l="1"/>
  <c r="CF26" i="3" l="1"/>
  <c r="CG2" i="3" l="1"/>
  <c r="CF3" i="3"/>
  <c r="CG3" i="3"/>
  <c r="CF4" i="3"/>
  <c r="CG4" i="3"/>
  <c r="CF5" i="3"/>
  <c r="CG5" i="3"/>
  <c r="CF6" i="3"/>
  <c r="CG6" i="3"/>
  <c r="CF7" i="3"/>
  <c r="CG7" i="3"/>
  <c r="CF8" i="3"/>
  <c r="CG8" i="3"/>
  <c r="CF9" i="3"/>
  <c r="CG9" i="3"/>
  <c r="CF10" i="3"/>
  <c r="CG10" i="3"/>
  <c r="CF11" i="3"/>
  <c r="CG11" i="3"/>
  <c r="CF12" i="3"/>
  <c r="CG12" i="3"/>
  <c r="CF13" i="3"/>
  <c r="CG13" i="3"/>
  <c r="CF14" i="3"/>
  <c r="CG14" i="3"/>
  <c r="CF15" i="3"/>
  <c r="CG15" i="3"/>
  <c r="CF16" i="3"/>
  <c r="CG16" i="3"/>
  <c r="CF17" i="3"/>
  <c r="CG17" i="3"/>
  <c r="CF18" i="3"/>
  <c r="CG18" i="3"/>
  <c r="CF19" i="3"/>
  <c r="CG19" i="3"/>
  <c r="CF20" i="3"/>
  <c r="CG20" i="3"/>
  <c r="CF21" i="3"/>
  <c r="CG21" i="3"/>
  <c r="CF22" i="3"/>
  <c r="CG22" i="3"/>
  <c r="CF23" i="3"/>
  <c r="CG23" i="3"/>
  <c r="CF24" i="3"/>
  <c r="CG24" i="3"/>
  <c r="CF25" i="3"/>
  <c r="CG25" i="3"/>
  <c r="CG26" i="3" l="1"/>
  <c r="CF27" i="3"/>
  <c r="CG27" i="3"/>
  <c r="CF28" i="3"/>
  <c r="CG28" i="3"/>
  <c r="CF29" i="3"/>
  <c r="CG29" i="3"/>
  <c r="CF30" i="3"/>
  <c r="CG30" i="3"/>
  <c r="CF31" i="3"/>
  <c r="CG31" i="3"/>
  <c r="CF32" i="3"/>
  <c r="CG32" i="3"/>
  <c r="CF33" i="3"/>
  <c r="CG33" i="3"/>
  <c r="CF34" i="3"/>
  <c r="CG34" i="3"/>
  <c r="CF35" i="3"/>
  <c r="CG35" i="3"/>
  <c r="CF36" i="3"/>
  <c r="CG36" i="3"/>
  <c r="CF37" i="3"/>
  <c r="CG37" i="3"/>
  <c r="CF38" i="3"/>
  <c r="CG38" i="3"/>
  <c r="CF39" i="3"/>
  <c r="CG39" i="3"/>
  <c r="CF40" i="3"/>
  <c r="CG40" i="3"/>
  <c r="CF41" i="3"/>
  <c r="CG41" i="3"/>
  <c r="CF42" i="3"/>
  <c r="CG42" i="3"/>
  <c r="CF43" i="3"/>
  <c r="CG43" i="3"/>
  <c r="CF44" i="3"/>
  <c r="CG44" i="3"/>
  <c r="CF45" i="3"/>
  <c r="CG45" i="3"/>
  <c r="CF46" i="3"/>
  <c r="CG46" i="3"/>
  <c r="CF47" i="3"/>
  <c r="CG47" i="3"/>
  <c r="CF48" i="3"/>
  <c r="CG48" i="3"/>
  <c r="CF49" i="3"/>
  <c r="CG49" i="3"/>
</calcChain>
</file>

<file path=xl/sharedStrings.xml><?xml version="1.0" encoding="utf-8"?>
<sst xmlns="http://schemas.openxmlformats.org/spreadsheetml/2006/main" count="305" uniqueCount="218">
  <si>
    <t>APRoM_YO</t>
  </si>
  <si>
    <t>MLRoM_YO</t>
  </si>
  <si>
    <t>Vm_YO</t>
  </si>
  <si>
    <t>Aire_YO</t>
  </si>
  <si>
    <t>theta_YO</t>
  </si>
  <si>
    <t>CoPexc_YO</t>
  </si>
  <si>
    <t>Ratio_exc_YO</t>
  </si>
  <si>
    <t>APRoM_YF</t>
  </si>
  <si>
    <t>MLRoM_YF</t>
  </si>
  <si>
    <t>Vm_YF</t>
  </si>
  <si>
    <t>Aire_YF</t>
  </si>
  <si>
    <t>theta_YF</t>
  </si>
  <si>
    <t>CoPexc_YF</t>
  </si>
  <si>
    <t>Ratio_exc_YF</t>
  </si>
  <si>
    <t>Sujets</t>
  </si>
  <si>
    <t>Names</t>
  </si>
  <si>
    <t>APRoM_MO</t>
  </si>
  <si>
    <t>MLRoM_MO</t>
  </si>
  <si>
    <t>Vm_MO</t>
  </si>
  <si>
    <t>Aire_MO</t>
  </si>
  <si>
    <t>theta_MO</t>
  </si>
  <si>
    <t>Fmed_ap_YO</t>
  </si>
  <si>
    <t>Fmed_ap_YF</t>
  </si>
  <si>
    <t>Fmed_ap_MO</t>
  </si>
  <si>
    <t>Fmed_ml_YO</t>
  </si>
  <si>
    <t>Fmed_ml_YF</t>
  </si>
  <si>
    <t>Fmed_ml_MO</t>
  </si>
  <si>
    <t>CoPexc_MO</t>
  </si>
  <si>
    <t>Ratio_exc_MO</t>
  </si>
  <si>
    <t>RMS_ap_YO</t>
  </si>
  <si>
    <t>RMS_ap_YF</t>
  </si>
  <si>
    <t>RMS_ap_MO</t>
  </si>
  <si>
    <t>RMS_ml_YO</t>
  </si>
  <si>
    <t>RMS_ml_YF</t>
  </si>
  <si>
    <t>RMS_ml_MO</t>
  </si>
  <si>
    <t>RMSr_ap_YO</t>
  </si>
  <si>
    <t>RMSr_ap_YF</t>
  </si>
  <si>
    <t>RMSr_ap_MO</t>
  </si>
  <si>
    <t>RMSr_ml_YO</t>
  </si>
  <si>
    <t>RMSr_ml_YF</t>
  </si>
  <si>
    <t>RMSr_ml_MO</t>
  </si>
  <si>
    <t>RMSt_ap_YO</t>
  </si>
  <si>
    <t>RMSt_ap_YF</t>
  </si>
  <si>
    <t>RMSt_ap_MO</t>
  </si>
  <si>
    <t>RMSt_ml_YO</t>
  </si>
  <si>
    <t>RMSt_ml_YF</t>
  </si>
  <si>
    <t>RMSt_ml_MO</t>
  </si>
  <si>
    <t>Ratio_So</t>
  </si>
  <si>
    <t>Ratio_Vi</t>
  </si>
  <si>
    <t>Age</t>
  </si>
  <si>
    <t>x300821PM</t>
  </si>
  <si>
    <t>ADR1214</t>
  </si>
  <si>
    <t>CC1114</t>
  </si>
  <si>
    <t>JM0514</t>
  </si>
  <si>
    <t>AD0514</t>
  </si>
  <si>
    <t>EP0714</t>
  </si>
  <si>
    <t>LTC0913</t>
  </si>
  <si>
    <t>TG0712</t>
  </si>
  <si>
    <t>LF1012</t>
  </si>
  <si>
    <t>TG0913</t>
  </si>
  <si>
    <t>AG0812</t>
  </si>
  <si>
    <t>MB0812</t>
  </si>
  <si>
    <t>MDS0111</t>
  </si>
  <si>
    <t>ZG1110</t>
  </si>
  <si>
    <t>x300821</t>
  </si>
  <si>
    <t>AM0411</t>
  </si>
  <si>
    <t>x300822PMb</t>
  </si>
  <si>
    <t>CG0511</t>
  </si>
  <si>
    <t>NC0211</t>
  </si>
  <si>
    <t>SB0810</t>
  </si>
  <si>
    <t>LR03017</t>
  </si>
  <si>
    <t>LR03019</t>
  </si>
  <si>
    <t>P04035</t>
  </si>
  <si>
    <t>P04036</t>
  </si>
  <si>
    <t>Sexe</t>
  </si>
  <si>
    <t>Poids</t>
  </si>
  <si>
    <t>Taille</t>
  </si>
  <si>
    <t>Sen_ap_YO</t>
  </si>
  <si>
    <t>Sen_ap_YF</t>
  </si>
  <si>
    <t>Sen_ap_MO</t>
  </si>
  <si>
    <t>Sen_ml_YO</t>
  </si>
  <si>
    <t>Sen_ml_YF</t>
  </si>
  <si>
    <t>Sen_ml_MO</t>
  </si>
  <si>
    <t>DFA_ap_YO</t>
  </si>
  <si>
    <t>DFA_ap_YF</t>
  </si>
  <si>
    <t>DFA_ap_MO</t>
  </si>
  <si>
    <t>DFA_ml_YO</t>
  </si>
  <si>
    <t>DFA_ml_YF</t>
  </si>
  <si>
    <t>DFA_ml_MO</t>
  </si>
  <si>
    <t>L03002</t>
  </si>
  <si>
    <t>L03004</t>
  </si>
  <si>
    <t>L03006</t>
  </si>
  <si>
    <t>L03010</t>
  </si>
  <si>
    <t>L03011</t>
  </si>
  <si>
    <t>L03014</t>
  </si>
  <si>
    <t>L03017</t>
  </si>
  <si>
    <t>L03018</t>
  </si>
  <si>
    <t>L03020</t>
  </si>
  <si>
    <t>L03022</t>
  </si>
  <si>
    <t>L03024</t>
  </si>
  <si>
    <t>L03025</t>
  </si>
  <si>
    <t>L03026</t>
  </si>
  <si>
    <t>L03027</t>
  </si>
  <si>
    <t>L03028</t>
  </si>
  <si>
    <t>L03029</t>
  </si>
  <si>
    <t>L03032</t>
  </si>
  <si>
    <t>L03035</t>
  </si>
  <si>
    <t>LR03001</t>
  </si>
  <si>
    <t>LR03006</t>
  </si>
  <si>
    <t>LR03009</t>
  </si>
  <si>
    <t>LR03011</t>
  </si>
  <si>
    <t>LR03013</t>
  </si>
  <si>
    <t>LR03014</t>
  </si>
  <si>
    <t>DET_ap_YO</t>
  </si>
  <si>
    <t>DET_ap_YF</t>
  </si>
  <si>
    <t>MeanL_ap_YO</t>
  </si>
  <si>
    <t>MeanL_ap_YF</t>
  </si>
  <si>
    <t>MaxL_ap_YO</t>
  </si>
  <si>
    <t>MaxL_ap_YF</t>
  </si>
  <si>
    <t>DET_ml_YO</t>
  </si>
  <si>
    <t>DET_ml_YF</t>
  </si>
  <si>
    <t>MeanL_ml_YO</t>
  </si>
  <si>
    <t>MeanL_ml_YF</t>
  </si>
  <si>
    <t>MaxL_ml_YO</t>
  </si>
  <si>
    <t>MaxL_ml_YF</t>
  </si>
  <si>
    <t>DET_ap_MO</t>
  </si>
  <si>
    <t>MeanL_ap_MO</t>
  </si>
  <si>
    <t>MaxL_ap_MO</t>
  </si>
  <si>
    <t>DET_ml_MO</t>
  </si>
  <si>
    <t>MeanL_ml_MO</t>
  </si>
  <si>
    <t>MaxL_ml_MO</t>
  </si>
  <si>
    <t>LAM_ap_YO</t>
  </si>
  <si>
    <t>LAM_ap_YF</t>
  </si>
  <si>
    <t>LAM_ap_MO</t>
  </si>
  <si>
    <t>LAM_ml_YO</t>
  </si>
  <si>
    <t>LAM_ml_YF</t>
  </si>
  <si>
    <t>LAM_ml_MO</t>
  </si>
  <si>
    <t>TD</t>
  </si>
  <si>
    <t>TSA</t>
  </si>
  <si>
    <t>AWR</t>
  </si>
  <si>
    <t>COG</t>
  </si>
  <si>
    <t>COM</t>
  </si>
  <si>
    <t>MOT</t>
  </si>
  <si>
    <t>RRB</t>
  </si>
  <si>
    <t>SCI</t>
  </si>
  <si>
    <t>TOT</t>
  </si>
  <si>
    <t>ADOS_Total_Affect social</t>
  </si>
  <si>
    <t>ADOS_Score CRR</t>
  </si>
  <si>
    <t>ADOS_Score total</t>
  </si>
  <si>
    <t>Evaluation de l'autisme (SRR)</t>
  </si>
  <si>
    <t>Communication</t>
  </si>
  <si>
    <t>Inter Sociale Reciproque</t>
  </si>
  <si>
    <t>Evaluation de l'autisme (ADOS)</t>
  </si>
  <si>
    <t>Total_Affect social</t>
  </si>
  <si>
    <t>Score CRR</t>
  </si>
  <si>
    <t>Variable</t>
  </si>
  <si>
    <t>Type</t>
  </si>
  <si>
    <t>Description</t>
  </si>
  <si>
    <t>Axe</t>
  </si>
  <si>
    <t>Label</t>
  </si>
  <si>
    <t>Conditions</t>
  </si>
  <si>
    <t>APRoM</t>
  </si>
  <si>
    <t>amplitude de mouvement</t>
  </si>
  <si>
    <t>AP</t>
  </si>
  <si>
    <t>YO</t>
  </si>
  <si>
    <t>yeux ouverts</t>
  </si>
  <si>
    <t>MLRoM</t>
  </si>
  <si>
    <t>ML</t>
  </si>
  <si>
    <t>YF</t>
  </si>
  <si>
    <t>yeux fermés</t>
  </si>
  <si>
    <t>Vm</t>
  </si>
  <si>
    <t>vitesse moyenne du déplacement</t>
  </si>
  <si>
    <t>YOM</t>
  </si>
  <si>
    <t>yeux ouverts sur mousse</t>
  </si>
  <si>
    <t>Aire</t>
  </si>
  <si>
    <t>aire de l'ellipse 95</t>
  </si>
  <si>
    <t>theta</t>
  </si>
  <si>
    <t>Classique</t>
  </si>
  <si>
    <t>angle de l'axe principale de l'ellipse 95 / à axe AP</t>
  </si>
  <si>
    <t>Fmed_ap</t>
  </si>
  <si>
    <t>fréquence médiane</t>
  </si>
  <si>
    <t>Fmed_ml</t>
  </si>
  <si>
    <t>CoPexc</t>
  </si>
  <si>
    <t xml:space="preserve">excursion totale </t>
  </si>
  <si>
    <t>Ratio_exc</t>
  </si>
  <si>
    <t>ratio de l'excursion sur AP/ML</t>
  </si>
  <si>
    <t>RMS_ap</t>
  </si>
  <si>
    <t xml:space="preserve">RMS </t>
  </si>
  <si>
    <t>RMS_ml</t>
  </si>
  <si>
    <t>RMSr_ap</t>
  </si>
  <si>
    <t>Dérive CoP</t>
  </si>
  <si>
    <t>RMS sur la composante rambling</t>
  </si>
  <si>
    <t>RMSr_ml</t>
  </si>
  <si>
    <t>RMSt_ap</t>
  </si>
  <si>
    <t>RMS sur la composante trembling</t>
  </si>
  <si>
    <t>RMSt_ml</t>
  </si>
  <si>
    <t>SEnAP</t>
  </si>
  <si>
    <t>Sample entropie</t>
  </si>
  <si>
    <t>SEnML</t>
  </si>
  <si>
    <t>DFA_AP</t>
  </si>
  <si>
    <t>Exposant de Hurst</t>
  </si>
  <si>
    <t>DFA_ML</t>
  </si>
  <si>
    <t>DET_AP</t>
  </si>
  <si>
    <t>% de déterminisme</t>
  </si>
  <si>
    <t>MeanL_AP</t>
  </si>
  <si>
    <t>Non-linéaire</t>
  </si>
  <si>
    <t>longueur moyenne des lignes de récurrence</t>
  </si>
  <si>
    <t>Max_AP</t>
  </si>
  <si>
    <t>longueur maximale des lignes de récurrence</t>
  </si>
  <si>
    <t>Entr_AP</t>
  </si>
  <si>
    <t>Entropie</t>
  </si>
  <si>
    <t>LAM_AP</t>
  </si>
  <si>
    <t>Laminarité</t>
  </si>
  <si>
    <t>DET_ML</t>
  </si>
  <si>
    <t>MeanL_ML</t>
  </si>
  <si>
    <t>Max_ML</t>
  </si>
  <si>
    <t>Entr_ML</t>
  </si>
  <si>
    <t>LAM_ML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</si>
</sst>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1" fillId="7" borderId="0" xfId="0" applyFont="1" applyFill="1"/>
    <xf numFmtId="164" fontId="0" fillId="0" borderId="8" xfId="0" applyNumberFormat="1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0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0" fontId="2" fillId="6" borderId="0" xfId="0" applyFont="1" applyFill="1"/>
    <xf numFmtId="0" fontId="2" fillId="2" borderId="0" xfId="0" applyFont="1" applyFill="1"/>
    <xf numFmtId="0" fontId="3" fillId="0" borderId="0" xfId="0" applyFont="1"/>
    <xf numFmtId="165" fontId="3" fillId="0" borderId="0" xfId="0" applyNumberFormat="1" applyFont="1"/>
    <xf numFmtId="0" fontId="3" fillId="2" borderId="0" xfId="0" applyFont="1" applyFill="1"/>
    <xf numFmtId="165" fontId="4" fillId="0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165" fontId="5" fillId="0" borderId="5" xfId="0" applyNumberFormat="1" applyFont="1" applyFill="1" applyBorder="1" applyAlignment="1">
      <alignment horizontal="center" vertical="center"/>
    </xf>
    <xf numFmtId="165" fontId="5" fillId="0" borderId="6" xfId="0" applyNumberFormat="1" applyFont="1" applyFill="1" applyBorder="1" applyAlignment="1">
      <alignment horizontal="center" vertical="center"/>
    </xf>
    <xf numFmtId="165" fontId="3" fillId="0" borderId="10" xfId="0" applyNumberFormat="1" applyFont="1" applyBorder="1"/>
    <xf numFmtId="165" fontId="4" fillId="5" borderId="5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165" fontId="5" fillId="5" borderId="5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3" fillId="0" borderId="0" xfId="0" quotePrefix="1" applyFont="1"/>
    <xf numFmtId="165" fontId="5" fillId="0" borderId="11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 vertical="center"/>
    </xf>
    <xf numFmtId="165" fontId="7" fillId="0" borderId="11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/>
    </xf>
    <xf numFmtId="165" fontId="7" fillId="0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/>
    </xf>
    <xf numFmtId="165" fontId="7" fillId="4" borderId="5" xfId="0" applyNumberFormat="1" applyFont="1" applyFill="1" applyBorder="1" applyAlignment="1">
      <alignment horizontal="center" vertical="center"/>
    </xf>
    <xf numFmtId="165" fontId="5" fillId="0" borderId="5" xfId="0" applyNumberFormat="1" applyFont="1" applyFill="1" applyBorder="1" applyAlignment="1">
      <alignment horizontal="center"/>
    </xf>
    <xf numFmtId="165" fontId="7" fillId="0" borderId="5" xfId="0" applyNumberFormat="1" applyFont="1" applyFill="1" applyBorder="1" applyAlignment="1">
      <alignment horizontal="center" vertical="center"/>
    </xf>
    <xf numFmtId="165" fontId="7" fillId="4" borderId="0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7" fillId="0" borderId="3" xfId="0" applyNumberFormat="1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" fontId="9" fillId="0" borderId="18" xfId="0" applyNumberFormat="1" applyFont="1" applyFill="1" applyBorder="1" applyAlignment="1">
      <alignment horizontal="center" vertical="center"/>
    </xf>
    <xf numFmtId="1" fontId="0" fillId="9" borderId="0" xfId="0" applyNumberFormat="1" applyFill="1" applyBorder="1" applyAlignment="1">
      <alignment horizontal="center" vertical="center"/>
    </xf>
    <xf numFmtId="1" fontId="0" fillId="9" borderId="19" xfId="0" applyNumberFormat="1" applyFill="1" applyBorder="1" applyAlignment="1">
      <alignment horizontal="center" vertical="center"/>
    </xf>
    <xf numFmtId="1" fontId="10" fillId="0" borderId="7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18" xfId="0" applyNumberFormat="1" applyFont="1" applyFill="1" applyBorder="1" applyAlignment="1">
      <alignment horizontal="center" vertical="center"/>
    </xf>
    <xf numFmtId="1" fontId="11" fillId="9" borderId="0" xfId="0" applyNumberFormat="1" applyFont="1" applyFill="1" applyBorder="1" applyAlignment="1">
      <alignment horizontal="center" vertical="center"/>
    </xf>
    <xf numFmtId="1" fontId="11" fillId="9" borderId="19" xfId="0" applyNumberFormat="1" applyFon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18" xfId="0" applyNumberFormat="1" applyFill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 vertical="center"/>
    </xf>
    <xf numFmtId="1" fontId="0" fillId="10" borderId="0" xfId="0" applyNumberFormat="1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1" fontId="0" fillId="9" borderId="2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5" fontId="3" fillId="0" borderId="0" xfId="0" applyNumberFormat="1" applyFont="1" applyFill="1"/>
    <xf numFmtId="0" fontId="2" fillId="0" borderId="10" xfId="0" applyFont="1" applyFill="1" applyBorder="1"/>
    <xf numFmtId="165" fontId="3" fillId="0" borderId="10" xfId="0" applyNumberFormat="1" applyFont="1" applyFill="1" applyBorder="1"/>
    <xf numFmtId="0" fontId="0" fillId="0" borderId="10" xfId="0" applyFill="1" applyBorder="1" applyAlignment="1">
      <alignment horizontal="center"/>
    </xf>
    <xf numFmtId="0" fontId="0" fillId="11" borderId="24" xfId="0" applyFont="1" applyFill="1" applyBorder="1" applyAlignment="1">
      <alignment horizontal="left" vertical="center" wrapText="1"/>
    </xf>
    <xf numFmtId="0" fontId="0" fillId="11" borderId="25" xfId="0" applyFont="1" applyFill="1" applyBorder="1"/>
    <xf numFmtId="0" fontId="0" fillId="11" borderId="0" xfId="0" applyFont="1" applyFill="1" applyBorder="1" applyAlignment="1">
      <alignment horizontal="left" vertical="center" wrapText="1"/>
    </xf>
    <xf numFmtId="0" fontId="0" fillId="11" borderId="26" xfId="0" applyFont="1" applyFill="1" applyBorder="1"/>
    <xf numFmtId="0" fontId="0" fillId="11" borderId="27" xfId="0" applyFont="1" applyFill="1" applyBorder="1" applyAlignment="1">
      <alignment horizontal="left" vertical="center" wrapText="1"/>
    </xf>
    <xf numFmtId="0" fontId="0" fillId="11" borderId="28" xfId="0" applyFont="1" applyFill="1" applyBorder="1"/>
    <xf numFmtId="0" fontId="11" fillId="12" borderId="0" xfId="0" applyFont="1" applyFill="1" applyBorder="1" applyAlignment="1">
      <alignment horizontal="left" vertical="center" wrapText="1"/>
    </xf>
    <xf numFmtId="0" fontId="0" fillId="12" borderId="26" xfId="0" applyFont="1" applyFill="1" applyBorder="1"/>
    <xf numFmtId="0" fontId="12" fillId="0" borderId="0" xfId="0" applyFont="1" applyBorder="1"/>
    <xf numFmtId="0" fontId="12" fillId="13" borderId="0" xfId="0" applyFont="1" applyFill="1" applyBorder="1"/>
    <xf numFmtId="0" fontId="12" fillId="13" borderId="0" xfId="0" applyFont="1" applyFill="1"/>
    <xf numFmtId="0" fontId="12" fillId="14" borderId="8" xfId="0" applyFont="1" applyFill="1" applyBorder="1"/>
    <xf numFmtId="0" fontId="12" fillId="14" borderId="9" xfId="0" applyFont="1" applyFill="1" applyBorder="1"/>
    <xf numFmtId="0" fontId="0" fillId="13" borderId="9" xfId="0" applyFill="1" applyBorder="1"/>
    <xf numFmtId="0" fontId="0" fillId="13" borderId="29" xfId="0" applyFill="1" applyBorder="1"/>
    <xf numFmtId="0" fontId="0" fillId="0" borderId="0" xfId="0" applyBorder="1"/>
    <xf numFmtId="0" fontId="0" fillId="15" borderId="8" xfId="0" applyFill="1" applyBorder="1"/>
    <xf numFmtId="0" fontId="12" fillId="14" borderId="7" xfId="0" applyFont="1" applyFill="1" applyBorder="1"/>
    <xf numFmtId="0" fontId="12" fillId="14" borderId="0" xfId="0" applyFont="1" applyFill="1" applyBorder="1"/>
    <xf numFmtId="0" fontId="0" fillId="13" borderId="0" xfId="0" applyFill="1" applyBorder="1"/>
    <xf numFmtId="0" fontId="0" fillId="13" borderId="30" xfId="0" applyFill="1" applyBorder="1"/>
    <xf numFmtId="0" fontId="0" fillId="15" borderId="7" xfId="0" applyFill="1" applyBorder="1"/>
    <xf numFmtId="0" fontId="0" fillId="15" borderId="12" xfId="0" applyFill="1" applyBorder="1"/>
    <xf numFmtId="0" fontId="0" fillId="13" borderId="31" xfId="0" applyFill="1" applyBorder="1"/>
    <xf numFmtId="0" fontId="12" fillId="14" borderId="12" xfId="0" applyFont="1" applyFill="1" applyBorder="1"/>
    <xf numFmtId="0" fontId="12" fillId="14" borderId="10" xfId="0" applyFont="1" applyFill="1" applyBorder="1"/>
    <xf numFmtId="0" fontId="0" fillId="13" borderId="10" xfId="0" applyFill="1" applyBorder="1"/>
    <xf numFmtId="0" fontId="12" fillId="16" borderId="8" xfId="0" applyFont="1" applyFill="1" applyBorder="1"/>
    <xf numFmtId="0" fontId="12" fillId="16" borderId="9" xfId="0" applyFont="1" applyFill="1" applyBorder="1"/>
    <xf numFmtId="0" fontId="12" fillId="16" borderId="7" xfId="0" applyFont="1" applyFill="1" applyBorder="1"/>
    <xf numFmtId="0" fontId="12" fillId="16" borderId="0" xfId="0" applyFont="1" applyFill="1" applyBorder="1"/>
    <xf numFmtId="0" fontId="12" fillId="16" borderId="12" xfId="0" applyFont="1" applyFill="1" applyBorder="1"/>
    <xf numFmtId="0" fontId="12" fillId="16" borderId="10" xfId="0" applyFont="1" applyFill="1" applyBorder="1"/>
    <xf numFmtId="0" fontId="12" fillId="17" borderId="8" xfId="0" applyFont="1" applyFill="1" applyBorder="1"/>
    <xf numFmtId="0" fontId="12" fillId="17" borderId="9" xfId="0" applyFont="1" applyFill="1" applyBorder="1"/>
    <xf numFmtId="0" fontId="12" fillId="17" borderId="7" xfId="0" applyFont="1" applyFill="1" applyBorder="1"/>
    <xf numFmtId="0" fontId="12" fillId="17" borderId="0" xfId="0" applyFont="1" applyFill="1" applyBorder="1"/>
    <xf numFmtId="0" fontId="12" fillId="11" borderId="0" xfId="0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left" vertical="center" wrapText="1"/>
    </xf>
    <xf numFmtId="0" fontId="12" fillId="11" borderId="24" xfId="0" applyFont="1" applyFill="1" applyBorder="1" applyAlignment="1">
      <alignment horizontal="left" vertical="center" wrapText="1"/>
    </xf>
    <xf numFmtId="0" fontId="12" fillId="11" borderId="27" xfId="0" applyFont="1" applyFill="1" applyBorder="1" applyAlignment="1">
      <alignment horizontal="left" vertical="center" wrapText="1"/>
    </xf>
    <xf numFmtId="0" fontId="13" fillId="12" borderId="24" xfId="0" applyFont="1" applyFill="1" applyBorder="1" applyAlignment="1">
      <alignment horizontal="left" vertical="center" wrapText="1"/>
    </xf>
    <xf numFmtId="0" fontId="11" fillId="12" borderId="24" xfId="0" applyFont="1" applyFill="1" applyBorder="1" applyAlignment="1">
      <alignment horizontal="left" vertical="center" wrapText="1"/>
    </xf>
    <xf numFmtId="0" fontId="0" fillId="12" borderId="25" xfId="0" applyFont="1" applyFill="1" applyBorder="1"/>
    <xf numFmtId="0" fontId="13" fillId="12" borderId="27" xfId="0" applyFont="1" applyFill="1" applyBorder="1" applyAlignment="1">
      <alignment horizontal="left" vertical="center" wrapText="1"/>
    </xf>
    <xf numFmtId="0" fontId="11" fillId="12" borderId="27" xfId="0" applyFont="1" applyFill="1" applyBorder="1" applyAlignment="1">
      <alignment horizontal="left" vertical="center" wrapText="1"/>
    </xf>
    <xf numFmtId="0" fontId="0" fillId="12" borderId="28" xfId="0" applyFont="1" applyFill="1" applyBorder="1"/>
  </cellXfs>
  <cellStyles count="1">
    <cellStyle name="Normal" xfId="0" builtinId="0"/>
  </cellStyles>
  <dxfs count="1">
    <dxf>
      <font>
        <strike val="0"/>
        <color theme="0" tint="-0.14996795556505021"/>
      </font>
    </dxf>
  </dxfs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0D5E-2677-4387-A2BE-7F8F03186491}">
  <dimension ref="A1:CU163"/>
  <sheetViews>
    <sheetView zoomScale="90" zoomScaleNormal="90" workbookViewId="0">
      <pane xSplit="1" topLeftCell="CJ1" activePane="topRight" state="frozen"/>
      <selection pane="topRight" activeCell="DA2" sqref="DA2"/>
    </sheetView>
  </sheetViews>
  <sheetFormatPr baseColWidth="10" defaultRowHeight="14.4" x14ac:dyDescent="0.3"/>
  <cols>
    <col min="3" max="7" width="13.5546875" bestFit="1" customWidth="1"/>
    <col min="8" max="8" width="14.5546875" bestFit="1" customWidth="1"/>
    <col min="9" max="11" width="13.5546875" bestFit="1" customWidth="1"/>
    <col min="12" max="14" width="15.5546875" bestFit="1" customWidth="1"/>
    <col min="15" max="17" width="14.33203125" bestFit="1" customWidth="1"/>
    <col min="18" max="23" width="12.5546875" bestFit="1" customWidth="1"/>
    <col min="24" max="24" width="14.5546875" bestFit="1" customWidth="1"/>
    <col min="25" max="26" width="15.5546875" bestFit="1" customWidth="1"/>
    <col min="27" max="29" width="12.5546875" bestFit="1" customWidth="1"/>
    <col min="30" max="41" width="13.5546875" bestFit="1" customWidth="1"/>
    <col min="42" max="46" width="12.5546875" bestFit="1" customWidth="1"/>
    <col min="47" max="47" width="13.5546875" bestFit="1" customWidth="1"/>
    <col min="48" max="59" width="12.5546875" bestFit="1" customWidth="1"/>
    <col min="60" max="68" width="13.5546875" bestFit="1" customWidth="1"/>
    <col min="69" max="71" width="15.5546875" bestFit="1" customWidth="1"/>
    <col min="72" max="80" width="13.5546875" bestFit="1" customWidth="1"/>
    <col min="81" max="83" width="15.5546875" bestFit="1" customWidth="1"/>
    <col min="84" max="85" width="12.5546875" bestFit="1" customWidth="1"/>
    <col min="86" max="86" width="21.44140625" customWidth="1"/>
    <col min="87" max="88" width="13.5546875" bestFit="1" customWidth="1"/>
    <col min="89" max="89" width="14.5546875" bestFit="1" customWidth="1"/>
  </cols>
  <sheetData>
    <row r="1" spans="1:99" ht="18" customHeight="1" thickBot="1" x14ac:dyDescent="0.35">
      <c r="A1" s="10" t="s">
        <v>15</v>
      </c>
      <c r="B1" s="10" t="s">
        <v>14</v>
      </c>
      <c r="C1" s="10" t="s">
        <v>0</v>
      </c>
      <c r="D1" s="10" t="s">
        <v>7</v>
      </c>
      <c r="E1" s="10" t="s">
        <v>16</v>
      </c>
      <c r="F1" s="10" t="s">
        <v>1</v>
      </c>
      <c r="G1" s="10" t="s">
        <v>8</v>
      </c>
      <c r="H1" s="10" t="s">
        <v>17</v>
      </c>
      <c r="I1" s="10" t="s">
        <v>2</v>
      </c>
      <c r="J1" s="10" t="s">
        <v>9</v>
      </c>
      <c r="K1" s="10" t="s">
        <v>18</v>
      </c>
      <c r="L1" s="10" t="s">
        <v>3</v>
      </c>
      <c r="M1" s="10" t="s">
        <v>10</v>
      </c>
      <c r="N1" s="10" t="s">
        <v>19</v>
      </c>
      <c r="O1" s="10" t="s">
        <v>4</v>
      </c>
      <c r="P1" s="10" t="s">
        <v>11</v>
      </c>
      <c r="Q1" s="10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0" t="s">
        <v>5</v>
      </c>
      <c r="Y1" s="10" t="s">
        <v>12</v>
      </c>
      <c r="Z1" s="10" t="s">
        <v>27</v>
      </c>
      <c r="AA1" s="10" t="s">
        <v>6</v>
      </c>
      <c r="AB1" s="10" t="s">
        <v>13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77</v>
      </c>
      <c r="AW1" s="10" t="s">
        <v>78</v>
      </c>
      <c r="AX1" s="10" t="s">
        <v>79</v>
      </c>
      <c r="AY1" s="10" t="s">
        <v>80</v>
      </c>
      <c r="AZ1" s="10" t="s">
        <v>81</v>
      </c>
      <c r="BA1" s="10" t="s">
        <v>82</v>
      </c>
      <c r="BB1" s="10" t="s">
        <v>83</v>
      </c>
      <c r="BC1" s="10" t="s">
        <v>84</v>
      </c>
      <c r="BD1" s="10" t="s">
        <v>85</v>
      </c>
      <c r="BE1" s="10" t="s">
        <v>86</v>
      </c>
      <c r="BF1" s="10" t="s">
        <v>87</v>
      </c>
      <c r="BG1" s="10" t="s">
        <v>88</v>
      </c>
      <c r="BH1" s="3" t="s">
        <v>113</v>
      </c>
      <c r="BI1" s="3" t="s">
        <v>114</v>
      </c>
      <c r="BJ1" s="3" t="s">
        <v>125</v>
      </c>
      <c r="BK1" s="3" t="s">
        <v>115</v>
      </c>
      <c r="BL1" s="3" t="s">
        <v>116</v>
      </c>
      <c r="BM1" s="3" t="s">
        <v>126</v>
      </c>
      <c r="BN1" s="3" t="s">
        <v>117</v>
      </c>
      <c r="BO1" s="3" t="s">
        <v>118</v>
      </c>
      <c r="BP1" s="3" t="s">
        <v>127</v>
      </c>
      <c r="BQ1" s="3" t="s">
        <v>131</v>
      </c>
      <c r="BR1" s="3" t="s">
        <v>132</v>
      </c>
      <c r="BS1" s="3" t="s">
        <v>133</v>
      </c>
      <c r="BT1" s="3" t="s">
        <v>119</v>
      </c>
      <c r="BU1" s="3" t="s">
        <v>120</v>
      </c>
      <c r="BV1" s="3" t="s">
        <v>128</v>
      </c>
      <c r="BW1" s="3" t="s">
        <v>121</v>
      </c>
      <c r="BX1" s="3" t="s">
        <v>122</v>
      </c>
      <c r="BY1" s="3" t="s">
        <v>129</v>
      </c>
      <c r="BZ1" s="3" t="s">
        <v>123</v>
      </c>
      <c r="CA1" s="3" t="s">
        <v>124</v>
      </c>
      <c r="CB1" s="3" t="s">
        <v>130</v>
      </c>
      <c r="CC1" s="3" t="s">
        <v>134</v>
      </c>
      <c r="CD1" s="3" t="s">
        <v>135</v>
      </c>
      <c r="CE1" s="3" t="s">
        <v>136</v>
      </c>
      <c r="CF1" s="10" t="s">
        <v>48</v>
      </c>
      <c r="CG1" s="10" t="s">
        <v>47</v>
      </c>
      <c r="CH1" s="10" t="s">
        <v>74</v>
      </c>
      <c r="CI1" s="10" t="s">
        <v>49</v>
      </c>
      <c r="CJ1" s="10" t="s">
        <v>75</v>
      </c>
      <c r="CK1" s="10" t="s">
        <v>76</v>
      </c>
      <c r="CL1" s="51" t="s">
        <v>139</v>
      </c>
      <c r="CM1" s="52" t="s">
        <v>140</v>
      </c>
      <c r="CN1" s="52" t="s">
        <v>141</v>
      </c>
      <c r="CO1" s="52" t="s">
        <v>142</v>
      </c>
      <c r="CP1" s="52" t="s">
        <v>143</v>
      </c>
      <c r="CQ1" s="52" t="s">
        <v>144</v>
      </c>
      <c r="CR1" s="53" t="s">
        <v>145</v>
      </c>
      <c r="CS1" s="54" t="s">
        <v>146</v>
      </c>
      <c r="CT1" s="52" t="s">
        <v>147</v>
      </c>
      <c r="CU1" s="55" t="s">
        <v>148</v>
      </c>
    </row>
    <row r="2" spans="1:99" x14ac:dyDescent="0.3">
      <c r="A2" s="12" t="s">
        <v>50</v>
      </c>
      <c r="B2" s="1" t="s">
        <v>137</v>
      </c>
      <c r="C2" s="13">
        <v>27.731912022490199</v>
      </c>
      <c r="D2" s="13">
        <v>20.26140483873094</v>
      </c>
      <c r="E2" s="13">
        <v>43.925684090880338</v>
      </c>
      <c r="F2" s="13">
        <v>7.6686013437260545</v>
      </c>
      <c r="G2" s="13">
        <v>7.5284835624645279</v>
      </c>
      <c r="H2" s="13">
        <v>33.104495923640215</v>
      </c>
      <c r="I2" s="13">
        <v>12.591872747476959</v>
      </c>
      <c r="J2" s="13">
        <v>11.437024064572842</v>
      </c>
      <c r="K2" s="13">
        <v>24.487038599445668</v>
      </c>
      <c r="L2" s="13">
        <v>77.393407983584495</v>
      </c>
      <c r="M2" s="13">
        <v>58.151790461572816</v>
      </c>
      <c r="N2" s="13">
        <v>833.97385831334202</v>
      </c>
      <c r="O2" s="13">
        <v>-7.7928712653102625E-4</v>
      </c>
      <c r="P2" s="13">
        <v>-1.7069012983956564</v>
      </c>
      <c r="Q2" s="13">
        <v>10.457448302337685</v>
      </c>
      <c r="R2" s="14">
        <v>0.11176293495595024</v>
      </c>
      <c r="S2" s="14">
        <v>0.17298760752927844</v>
      </c>
      <c r="T2" s="14">
        <v>0.20085891742143142</v>
      </c>
      <c r="U2" s="14">
        <v>0.27675203238567286</v>
      </c>
      <c r="V2" s="14">
        <v>0.67597286543982416</v>
      </c>
      <c r="W2" s="14">
        <v>0.30457333886512933</v>
      </c>
      <c r="X2" s="13">
        <v>377.44138560562192</v>
      </c>
      <c r="Y2" s="13">
        <v>342.82479633557097</v>
      </c>
      <c r="Z2" s="13">
        <v>733.99898201838414</v>
      </c>
      <c r="AA2" s="13">
        <v>2.0641763866187581</v>
      </c>
      <c r="AB2" s="13">
        <v>1.8225808117423816</v>
      </c>
      <c r="AC2" s="13">
        <v>1.5564954735578205</v>
      </c>
      <c r="AD2" s="13">
        <v>3.75165374162331</v>
      </c>
      <c r="AE2" s="13">
        <v>3.2650721658547397</v>
      </c>
      <c r="AF2" s="13">
        <v>9.6023541318112944</v>
      </c>
      <c r="AG2" s="13">
        <v>1.0953236500774668</v>
      </c>
      <c r="AH2" s="13">
        <v>0.94984478526966887</v>
      </c>
      <c r="AI2" s="13">
        <v>4.8118007961576206</v>
      </c>
      <c r="AJ2" s="13">
        <v>3.0667182634893035</v>
      </c>
      <c r="AK2" s="13">
        <v>3.2333245509574904</v>
      </c>
      <c r="AL2" s="13">
        <v>7.6144867981345969</v>
      </c>
      <c r="AM2" s="13">
        <v>1.0992383586761594</v>
      </c>
      <c r="AN2" s="13">
        <v>0.80042565123658038</v>
      </c>
      <c r="AO2" s="13">
        <v>3.5903194546622834</v>
      </c>
      <c r="AP2" s="13">
        <v>1.969598646847541</v>
      </c>
      <c r="AQ2" s="13">
        <v>1.1595498705754617</v>
      </c>
      <c r="AR2" s="13">
        <v>3.6629867748398057</v>
      </c>
      <c r="AS2" s="13">
        <v>0.63084661710054057</v>
      </c>
      <c r="AT2" s="13">
        <v>0.54764682412979748</v>
      </c>
      <c r="AU2" s="13">
        <v>2.406831406538827</v>
      </c>
      <c r="AV2" s="13">
        <v>9.9194161469237596E-2</v>
      </c>
      <c r="AW2" s="13">
        <v>0.11266748853500699</v>
      </c>
      <c r="AX2" s="13">
        <v>7.2403209615584996E-2</v>
      </c>
      <c r="AY2" s="13">
        <v>0.20175688000991199</v>
      </c>
      <c r="AZ2" s="13">
        <v>0.23186138073999801</v>
      </c>
      <c r="BA2" s="13">
        <v>8.1999942908055096E-2</v>
      </c>
      <c r="BB2" s="13">
        <v>1.5052335793960401</v>
      </c>
      <c r="BC2" s="13">
        <v>1.6165538297762001</v>
      </c>
      <c r="BD2" s="13">
        <v>1.64898234575568</v>
      </c>
      <c r="BE2" s="13">
        <v>1.3262592930608801</v>
      </c>
      <c r="BF2" s="13">
        <v>1.21166921902925</v>
      </c>
      <c r="BG2" s="13">
        <v>1.5036696367875899</v>
      </c>
      <c r="BH2" s="4">
        <v>80.454243343164507</v>
      </c>
      <c r="BI2" s="5">
        <v>74.522504067000099</v>
      </c>
      <c r="BJ2" s="5">
        <v>93.452155730359493</v>
      </c>
      <c r="BK2" s="4">
        <v>35.3910461397899</v>
      </c>
      <c r="BL2" s="5">
        <v>27.7943820224719</v>
      </c>
      <c r="BM2" s="5">
        <v>35.822137404580197</v>
      </c>
      <c r="BN2" s="4">
        <v>2354</v>
      </c>
      <c r="BO2" s="5">
        <v>2360</v>
      </c>
      <c r="BP2" s="5">
        <v>2834</v>
      </c>
      <c r="BQ2" s="4">
        <v>89.1932841932842</v>
      </c>
      <c r="BR2" s="5">
        <v>86.129305351334494</v>
      </c>
      <c r="BS2" s="5">
        <v>96.811900144824406</v>
      </c>
      <c r="BT2" s="4">
        <v>59.861062734626003</v>
      </c>
      <c r="BU2" s="5">
        <v>63.697700680401198</v>
      </c>
      <c r="BV2" s="5">
        <v>90.076557708880301</v>
      </c>
      <c r="BW2" s="4">
        <v>22.465504720406699</v>
      </c>
      <c r="BX2" s="5">
        <v>24.823964497041398</v>
      </c>
      <c r="BY2" s="5">
        <v>39.100043497172699</v>
      </c>
      <c r="BZ2" s="4">
        <v>2463</v>
      </c>
      <c r="CA2" s="5">
        <v>2441</v>
      </c>
      <c r="CB2" s="5">
        <v>2825</v>
      </c>
      <c r="CC2" s="6">
        <v>76.414203103231102</v>
      </c>
      <c r="CD2" s="7">
        <v>76.609317520195503</v>
      </c>
      <c r="CE2" s="7">
        <v>94.316104617269602</v>
      </c>
      <c r="CF2" s="13">
        <f>Y2/X2</f>
        <v>0.90828618537814276</v>
      </c>
      <c r="CG2" s="13">
        <f t="shared" ref="CG2:CG49" si="0">Z2/X2</f>
        <v>1.9446701130578177</v>
      </c>
      <c r="CH2" s="15">
        <v>2</v>
      </c>
      <c r="CI2" s="16">
        <v>6.25205479452055</v>
      </c>
      <c r="CJ2" s="17">
        <v>19.3</v>
      </c>
      <c r="CK2" s="18">
        <v>116.5</v>
      </c>
    </row>
    <row r="3" spans="1:99" x14ac:dyDescent="0.3">
      <c r="A3" s="12" t="s">
        <v>51</v>
      </c>
      <c r="B3" s="1" t="s">
        <v>137</v>
      </c>
      <c r="C3" s="13">
        <v>51.009440289350493</v>
      </c>
      <c r="D3" s="13">
        <v>45.980292135827341</v>
      </c>
      <c r="E3" s="13">
        <v>46.651579354584172</v>
      </c>
      <c r="F3" s="13">
        <v>32.512354040434211</v>
      </c>
      <c r="G3" s="13">
        <v>39.302604283662284</v>
      </c>
      <c r="H3" s="13">
        <v>38.954370539348233</v>
      </c>
      <c r="I3" s="13">
        <v>22.127170669732813</v>
      </c>
      <c r="J3" s="13">
        <v>21.74415129995748</v>
      </c>
      <c r="K3" s="13">
        <v>25.415442682256067</v>
      </c>
      <c r="L3" s="13">
        <v>1119.7948729013926</v>
      </c>
      <c r="M3" s="13">
        <v>1371.5701717371323</v>
      </c>
      <c r="N3" s="13">
        <v>1329.9254876833172</v>
      </c>
      <c r="O3" s="13">
        <v>19.184460480940039</v>
      </c>
      <c r="P3" s="13">
        <v>-50.011588928854827</v>
      </c>
      <c r="Q3" s="13">
        <v>31.155403073530813</v>
      </c>
      <c r="R3" s="14">
        <v>0.22953859888175679</v>
      </c>
      <c r="S3" s="14">
        <v>0.23002068698931158</v>
      </c>
      <c r="T3" s="14">
        <v>0.29812004140699849</v>
      </c>
      <c r="U3" s="14">
        <v>0.13022538504242251</v>
      </c>
      <c r="V3" s="14">
        <v>0.12528305607679055</v>
      </c>
      <c r="W3" s="14">
        <v>0.14880885171105415</v>
      </c>
      <c r="X3" s="13">
        <v>663.26194082524125</v>
      </c>
      <c r="Y3" s="13">
        <v>651.78093521622554</v>
      </c>
      <c r="Z3" s="13">
        <v>761.82789440062538</v>
      </c>
      <c r="AA3" s="13">
        <v>2.0695352979524149</v>
      </c>
      <c r="AB3" s="13">
        <v>2.1196909379137905</v>
      </c>
      <c r="AC3" s="13">
        <v>1.9227256651360731</v>
      </c>
      <c r="AD3" s="13">
        <v>8.3771813940292219</v>
      </c>
      <c r="AE3" s="13">
        <v>8.9053147369536827</v>
      </c>
      <c r="AF3" s="13">
        <v>9.0426919867000777</v>
      </c>
      <c r="AG3" s="13">
        <v>7.1539885938366128</v>
      </c>
      <c r="AH3" s="13">
        <v>9.8190416948988339</v>
      </c>
      <c r="AI3" s="13">
        <v>8.0217684651232695</v>
      </c>
      <c r="AJ3" s="13">
        <v>8.0598782801236446</v>
      </c>
      <c r="AK3" s="13">
        <v>8.1082652163236801</v>
      </c>
      <c r="AL3" s="13">
        <v>7.0762095507660456</v>
      </c>
      <c r="AM3" s="13">
        <v>6.3332151655507172</v>
      </c>
      <c r="AN3" s="13">
        <v>9.1681624980951355</v>
      </c>
      <c r="AO3" s="13">
        <v>6.8987070097565413</v>
      </c>
      <c r="AP3" s="13">
        <v>3.531254507906652</v>
      </c>
      <c r="AQ3" s="13">
        <v>3.4654064812980927</v>
      </c>
      <c r="AR3" s="13">
        <v>3.6979689035917005</v>
      </c>
      <c r="AS3" s="13">
        <v>1.3415818865217972</v>
      </c>
      <c r="AT3" s="13">
        <v>1.5307250160218961</v>
      </c>
      <c r="AU3" s="13">
        <v>1.8917893643279367</v>
      </c>
      <c r="AV3" s="13">
        <v>7.8104869971098403E-2</v>
      </c>
      <c r="AW3" s="13">
        <v>7.5286119801288895E-2</v>
      </c>
      <c r="AX3" s="13">
        <v>8.8235590286989601E-2</v>
      </c>
      <c r="AY3" s="13">
        <v>3.8534123813459803E-2</v>
      </c>
      <c r="AZ3" s="13">
        <v>2.8255019729535799E-2</v>
      </c>
      <c r="BA3" s="13">
        <v>4.8553716041777301E-2</v>
      </c>
      <c r="BB3" s="13">
        <v>1.60360117377412</v>
      </c>
      <c r="BC3" s="13">
        <v>1.6665148439586599</v>
      </c>
      <c r="BD3" s="13">
        <v>1.66660465421181</v>
      </c>
      <c r="BE3" s="13">
        <v>1.7416776184748799</v>
      </c>
      <c r="BF3" s="13">
        <v>1.7271426666893499</v>
      </c>
      <c r="BG3" s="13">
        <v>1.723533302553</v>
      </c>
      <c r="BH3" s="6">
        <v>90.095369186903895</v>
      </c>
      <c r="BI3" s="7">
        <v>86.9980879541109</v>
      </c>
      <c r="BJ3" s="7">
        <v>93.317340307341397</v>
      </c>
      <c r="BK3" s="6">
        <v>37.402448979591803</v>
      </c>
      <c r="BL3" s="7">
        <v>33.203153648698198</v>
      </c>
      <c r="BM3" s="7">
        <v>43.162346521145999</v>
      </c>
      <c r="BN3" s="6">
        <v>2852</v>
      </c>
      <c r="BO3" s="7">
        <v>2885</v>
      </c>
      <c r="BP3" s="7">
        <v>2852</v>
      </c>
      <c r="BQ3" s="6">
        <v>94.582422323813603</v>
      </c>
      <c r="BR3" s="7">
        <v>93.3519711902957</v>
      </c>
      <c r="BS3" s="7">
        <v>96.819294630953806</v>
      </c>
      <c r="BT3" s="6">
        <v>95.957056605328802</v>
      </c>
      <c r="BU3" s="7">
        <v>96.953910272125498</v>
      </c>
      <c r="BV3" s="7">
        <v>96.155143673598999</v>
      </c>
      <c r="BW3" s="6">
        <v>48.786799371398601</v>
      </c>
      <c r="BX3" s="7">
        <v>61.592472420506198</v>
      </c>
      <c r="BY3" s="7">
        <v>52.129639591178098</v>
      </c>
      <c r="BZ3" s="6">
        <v>2786</v>
      </c>
      <c r="CA3" s="7">
        <v>2798</v>
      </c>
      <c r="CB3" s="7">
        <v>2839</v>
      </c>
      <c r="CC3" s="6">
        <v>98.123441491495797</v>
      </c>
      <c r="CD3" s="7">
        <v>98.760266074494794</v>
      </c>
      <c r="CE3" s="7">
        <v>98.438417283080895</v>
      </c>
      <c r="CF3" s="13">
        <f t="shared" ref="CF3:CF49" si="1">Y3/X3</f>
        <v>0.98269008833111871</v>
      </c>
      <c r="CG3" s="13">
        <f t="shared" si="0"/>
        <v>1.1486078840175071</v>
      </c>
      <c r="CH3" s="19">
        <v>1</v>
      </c>
      <c r="CI3" s="16">
        <v>6.8575342465753426</v>
      </c>
      <c r="CJ3" s="19">
        <v>29</v>
      </c>
      <c r="CK3" s="20">
        <v>130</v>
      </c>
    </row>
    <row r="4" spans="1:99" x14ac:dyDescent="0.3">
      <c r="A4" s="12" t="s">
        <v>52</v>
      </c>
      <c r="B4" s="1" t="s">
        <v>137</v>
      </c>
      <c r="C4" s="13">
        <v>28.217186930814563</v>
      </c>
      <c r="D4" s="13">
        <v>30.126969575111417</v>
      </c>
      <c r="E4" s="13">
        <v>37.541250725285664</v>
      </c>
      <c r="F4" s="13">
        <v>18.182392259769323</v>
      </c>
      <c r="G4" s="13">
        <v>21.986309589180479</v>
      </c>
      <c r="H4" s="13">
        <v>43.980661074395634</v>
      </c>
      <c r="I4" s="13">
        <v>18.61738847840201</v>
      </c>
      <c r="J4" s="13">
        <v>21.169666718574408</v>
      </c>
      <c r="K4" s="13">
        <v>21.828349164915586</v>
      </c>
      <c r="L4" s="13">
        <v>303.77018980104884</v>
      </c>
      <c r="M4" s="13">
        <v>425.72079844779813</v>
      </c>
      <c r="N4" s="13">
        <v>865.81573200844582</v>
      </c>
      <c r="O4" s="13">
        <v>-26.438347690881038</v>
      </c>
      <c r="P4" s="13">
        <v>-32.802087725552852</v>
      </c>
      <c r="Q4" s="13">
        <v>-58.166253523455055</v>
      </c>
      <c r="R4" s="14">
        <v>0.28119109326349467</v>
      </c>
      <c r="S4" s="14">
        <v>0.31174204289872165</v>
      </c>
      <c r="T4" s="14">
        <v>0.24507380353005434</v>
      </c>
      <c r="U4" s="14">
        <v>0.1737669973581098</v>
      </c>
      <c r="V4" s="14">
        <v>0.37098393331482699</v>
      </c>
      <c r="W4" s="14">
        <v>0.1851537765584087</v>
      </c>
      <c r="X4" s="13">
        <v>558.05621964010038</v>
      </c>
      <c r="Y4" s="13">
        <v>634.56075988926796</v>
      </c>
      <c r="Z4" s="13">
        <v>654.30476621834487</v>
      </c>
      <c r="AA4" s="13">
        <v>2.4196913141377996</v>
      </c>
      <c r="AB4" s="13">
        <v>2.0582468233030164</v>
      </c>
      <c r="AC4" s="13">
        <v>1.102308059609391</v>
      </c>
      <c r="AD4" s="13">
        <v>4.4726727073893153</v>
      </c>
      <c r="AE4" s="13">
        <v>5.2548802501280392</v>
      </c>
      <c r="AF4" s="13">
        <v>6.4220629133828471</v>
      </c>
      <c r="AG4" s="13">
        <v>3.7194733635104025</v>
      </c>
      <c r="AH4" s="13">
        <v>4.5433841216626458</v>
      </c>
      <c r="AI4" s="13">
        <v>7.707017293527807</v>
      </c>
      <c r="AJ4" s="13">
        <v>4.1721133063200524</v>
      </c>
      <c r="AK4" s="13">
        <v>6.4674107918791854</v>
      </c>
      <c r="AL4" s="13">
        <v>5.0689492129902627</v>
      </c>
      <c r="AM4" s="13">
        <v>3.1932544299321504</v>
      </c>
      <c r="AN4" s="13">
        <v>6.0977790658352715</v>
      </c>
      <c r="AO4" s="13">
        <v>13.040045552825662</v>
      </c>
      <c r="AP4" s="13">
        <v>2.2253676575466304</v>
      </c>
      <c r="AQ4" s="13">
        <v>5.0800316062283315</v>
      </c>
      <c r="AR4" s="13">
        <v>4.5111883261656605</v>
      </c>
      <c r="AS4" s="13">
        <v>3.1344626206852007</v>
      </c>
      <c r="AT4" s="13">
        <v>4.57670409565619</v>
      </c>
      <c r="AU4" s="13">
        <v>11.799047755403759</v>
      </c>
      <c r="AV4" s="13">
        <v>0.15506064716725301</v>
      </c>
      <c r="AW4" s="13">
        <v>0.144265780915078</v>
      </c>
      <c r="AX4" s="13">
        <v>8.5473049079839006E-2</v>
      </c>
      <c r="AY4" s="13">
        <v>6.5000677254125699E-2</v>
      </c>
      <c r="AZ4" s="13">
        <v>7.2061660184950804E-2</v>
      </c>
      <c r="BA4" s="13">
        <v>6.3040028722437899E-2</v>
      </c>
      <c r="BB4" s="13">
        <v>1.53513885959663</v>
      </c>
      <c r="BC4" s="13">
        <v>1.4779589297500799</v>
      </c>
      <c r="BD4" s="13">
        <v>1.6080041064008299</v>
      </c>
      <c r="BE4" s="13">
        <v>1.5801551776106899</v>
      </c>
      <c r="BF4" s="13">
        <v>1.5768445984935</v>
      </c>
      <c r="BG4" s="13">
        <v>1.6300759801511899</v>
      </c>
      <c r="BH4" s="6">
        <v>74.757486738381601</v>
      </c>
      <c r="BI4" s="7">
        <v>77.430362592256799</v>
      </c>
      <c r="BJ4" s="7">
        <v>95.878031599074205</v>
      </c>
      <c r="BK4" s="6">
        <v>33.560721062618597</v>
      </c>
      <c r="BL4" s="7">
        <v>24.927181418706802</v>
      </c>
      <c r="BM4" s="7">
        <v>45.346977629700099</v>
      </c>
      <c r="BN4" s="6">
        <v>2751</v>
      </c>
      <c r="BO4" s="7">
        <v>2864</v>
      </c>
      <c r="BP4" s="7">
        <v>2819</v>
      </c>
      <c r="BQ4" s="6">
        <v>84.830746797208604</v>
      </c>
      <c r="BR4" s="7">
        <v>88.364847907922595</v>
      </c>
      <c r="BS4" s="7">
        <v>97.961401071641205</v>
      </c>
      <c r="BT4" s="6">
        <v>92.633108114695801</v>
      </c>
      <c r="BU4" s="7">
        <v>94.584336983583995</v>
      </c>
      <c r="BV4" s="7">
        <v>92.0964501004689</v>
      </c>
      <c r="BW4" s="6">
        <v>43.049841413683701</v>
      </c>
      <c r="BX4" s="7">
        <v>44.5448045757865</v>
      </c>
      <c r="BY4" s="7">
        <v>38.810483870967701</v>
      </c>
      <c r="BZ4" s="6">
        <v>2864</v>
      </c>
      <c r="CA4" s="7">
        <v>2811</v>
      </c>
      <c r="CB4" s="7">
        <v>2891</v>
      </c>
      <c r="CC4" s="6">
        <v>96.3639248265617</v>
      </c>
      <c r="CD4" s="7">
        <v>97.618548676805204</v>
      </c>
      <c r="CE4" s="7">
        <v>96.385763901997095</v>
      </c>
      <c r="CF4" s="13">
        <f t="shared" si="1"/>
        <v>1.1370910986325116</v>
      </c>
      <c r="CG4" s="13">
        <f t="shared" si="0"/>
        <v>1.1724710579165605</v>
      </c>
      <c r="CH4" s="19">
        <v>2</v>
      </c>
      <c r="CI4" s="16">
        <v>6.9945205479452053</v>
      </c>
      <c r="CJ4" s="19">
        <v>29</v>
      </c>
      <c r="CK4" s="20">
        <v>134</v>
      </c>
    </row>
    <row r="5" spans="1:99" x14ac:dyDescent="0.3">
      <c r="A5" s="12" t="s">
        <v>53</v>
      </c>
      <c r="B5" s="1" t="s">
        <v>137</v>
      </c>
      <c r="C5" s="13">
        <v>15.79396629095865</v>
      </c>
      <c r="D5" s="13">
        <v>15.623565283543712</v>
      </c>
      <c r="E5" s="13">
        <v>25.774500180962534</v>
      </c>
      <c r="F5" s="13">
        <v>5.639850171041946</v>
      </c>
      <c r="G5" s="13">
        <v>10.475976196619841</v>
      </c>
      <c r="H5" s="13">
        <v>40.215061802746106</v>
      </c>
      <c r="I5" s="13">
        <v>9.0491364673053472</v>
      </c>
      <c r="J5" s="13">
        <v>9.4496650407761518</v>
      </c>
      <c r="K5" s="13">
        <v>21.198687057686445</v>
      </c>
      <c r="L5" s="13">
        <v>77.718034696219007</v>
      </c>
      <c r="M5" s="13">
        <v>127.04994191267441</v>
      </c>
      <c r="N5" s="13">
        <v>614.68745945760941</v>
      </c>
      <c r="O5" s="13">
        <v>-5.039323827665652</v>
      </c>
      <c r="P5" s="13">
        <v>-46.820201007974383</v>
      </c>
      <c r="Q5" s="13">
        <v>-70.675998915717372</v>
      </c>
      <c r="R5" s="14">
        <v>0.12261870497709909</v>
      </c>
      <c r="S5" s="14">
        <v>0.14638160332064096</v>
      </c>
      <c r="T5" s="14">
        <v>0.24988592881300153</v>
      </c>
      <c r="U5" s="14">
        <v>0.15235671398487666</v>
      </c>
      <c r="V5" s="14">
        <v>0.1095955847913728</v>
      </c>
      <c r="W5" s="14">
        <v>0.25042543642720155</v>
      </c>
      <c r="X5" s="13">
        <v>271.24786560747793</v>
      </c>
      <c r="Y5" s="13">
        <v>283.25370959726513</v>
      </c>
      <c r="Z5" s="13">
        <v>635.43064455415129</v>
      </c>
      <c r="AA5" s="13">
        <v>1.8632524473382699</v>
      </c>
      <c r="AB5" s="13">
        <v>1.839891845329044</v>
      </c>
      <c r="AC5" s="13">
        <v>1.424791060476281</v>
      </c>
      <c r="AD5" s="13">
        <v>3.7408981917395421</v>
      </c>
      <c r="AE5" s="13">
        <v>2.6769826978880062</v>
      </c>
      <c r="AF5" s="13">
        <v>5.0771815063032424</v>
      </c>
      <c r="AG5" s="13">
        <v>1.1435141234933981</v>
      </c>
      <c r="AH5" s="13">
        <v>2.7454330803011993</v>
      </c>
      <c r="AI5" s="13">
        <v>6.5731403543831011</v>
      </c>
      <c r="AJ5" s="13">
        <v>3.5885711944324159</v>
      </c>
      <c r="AK5" s="13">
        <v>3.3071273531686747</v>
      </c>
      <c r="AL5" s="13">
        <v>4.3454723673951241</v>
      </c>
      <c r="AM5" s="13">
        <v>1.3121069307738855</v>
      </c>
      <c r="AN5" s="13">
        <v>2.6053667872587023</v>
      </c>
      <c r="AO5" s="13">
        <v>4.7522736691713696</v>
      </c>
      <c r="AP5" s="13">
        <v>1.9494019375247673</v>
      </c>
      <c r="AQ5" s="13">
        <v>1.5159493469916105</v>
      </c>
      <c r="AR5" s="13">
        <v>3.0236819713978025</v>
      </c>
      <c r="AS5" s="13">
        <v>0.91866066403524138</v>
      </c>
      <c r="AT5" s="13">
        <v>0.65986253020065433</v>
      </c>
      <c r="AU5" s="13">
        <v>2.7856773040993992</v>
      </c>
      <c r="AV5" s="13">
        <v>7.4777876189660294E-2</v>
      </c>
      <c r="AW5" s="13">
        <v>0.12036492003799</v>
      </c>
      <c r="AX5" s="13">
        <v>0.12052238130833499</v>
      </c>
      <c r="AY5" s="13">
        <v>0.153257323342742</v>
      </c>
      <c r="AZ5" s="13">
        <v>5.8225281079309001E-2</v>
      </c>
      <c r="BA5" s="13">
        <v>5.7127564982040399E-2</v>
      </c>
      <c r="BB5" s="13">
        <v>1.5908421413840801</v>
      </c>
      <c r="BC5" s="13">
        <v>1.5675328148129599</v>
      </c>
      <c r="BD5" s="13">
        <v>1.44539093162891</v>
      </c>
      <c r="BE5" s="13">
        <v>1.3991645762189699</v>
      </c>
      <c r="BF5" s="13">
        <v>1.56108698852036</v>
      </c>
      <c r="BG5" s="13">
        <v>1.70590721602801</v>
      </c>
      <c r="BH5" s="6">
        <v>86.492839465263899</v>
      </c>
      <c r="BI5" s="7">
        <v>81.537869970069806</v>
      </c>
      <c r="BJ5" s="7">
        <v>82.520469197526495</v>
      </c>
      <c r="BK5" s="6">
        <v>37.607834308869897</v>
      </c>
      <c r="BL5" s="7">
        <v>32.636855241264598</v>
      </c>
      <c r="BM5" s="7">
        <v>29.520637219406201</v>
      </c>
      <c r="BN5" s="6">
        <v>2779</v>
      </c>
      <c r="BO5" s="7">
        <v>2774</v>
      </c>
      <c r="BP5" s="7">
        <v>2811</v>
      </c>
      <c r="BQ5" s="6">
        <v>93.121752534171804</v>
      </c>
      <c r="BR5" s="7">
        <v>89.862874763731696</v>
      </c>
      <c r="BS5" s="7">
        <v>91.072016604632097</v>
      </c>
      <c r="BT5" s="6">
        <v>74.941802460924507</v>
      </c>
      <c r="BU5" s="7">
        <v>91.369203445337604</v>
      </c>
      <c r="BV5" s="7">
        <v>92.496141211857406</v>
      </c>
      <c r="BW5" s="6">
        <v>31.203807875378601</v>
      </c>
      <c r="BX5" s="7">
        <v>59.571619812583698</v>
      </c>
      <c r="BY5" s="7">
        <v>40.609904430929603</v>
      </c>
      <c r="BZ5" s="6">
        <v>2774</v>
      </c>
      <c r="CA5" s="7">
        <v>2791</v>
      </c>
      <c r="CB5" s="7">
        <v>2843</v>
      </c>
      <c r="CC5" s="6">
        <v>85.918667370135694</v>
      </c>
      <c r="CD5" s="7">
        <v>95.611975344878203</v>
      </c>
      <c r="CE5" s="7">
        <v>96.750902527075795</v>
      </c>
      <c r="CF5" s="13">
        <f t="shared" si="1"/>
        <v>1.0442615242811193</v>
      </c>
      <c r="CG5" s="13">
        <f t="shared" si="0"/>
        <v>2.3426198880166722</v>
      </c>
      <c r="CH5" s="21">
        <v>2</v>
      </c>
      <c r="CI5" s="16">
        <v>7.2849315068493148</v>
      </c>
      <c r="CJ5" s="19">
        <v>22</v>
      </c>
      <c r="CK5" s="20">
        <v>129</v>
      </c>
    </row>
    <row r="6" spans="1:99" x14ac:dyDescent="0.3">
      <c r="A6" s="12" t="s">
        <v>54</v>
      </c>
      <c r="B6" s="1" t="s">
        <v>137</v>
      </c>
      <c r="C6" s="13">
        <v>31.549074803345349</v>
      </c>
      <c r="D6" s="13">
        <v>26.642359269010001</v>
      </c>
      <c r="E6" s="13">
        <v>48.172634658764451</v>
      </c>
      <c r="F6" s="13">
        <v>19.507097540534268</v>
      </c>
      <c r="G6" s="13">
        <v>25.439783951556045</v>
      </c>
      <c r="H6" s="13">
        <v>93.149169702430129</v>
      </c>
      <c r="I6" s="13">
        <v>14.34035050429766</v>
      </c>
      <c r="J6" s="13">
        <v>17.525417236908833</v>
      </c>
      <c r="K6" s="13">
        <v>31.015733006448084</v>
      </c>
      <c r="L6" s="13">
        <v>476.07441853367783</v>
      </c>
      <c r="M6" s="13">
        <v>430.04871677759172</v>
      </c>
      <c r="N6" s="13">
        <v>2280.1463059491371</v>
      </c>
      <c r="O6" s="13">
        <v>-17.496787648162201</v>
      </c>
      <c r="P6" s="13">
        <v>-60.526738719984586</v>
      </c>
      <c r="Q6" s="13">
        <v>-66.961642158154746</v>
      </c>
      <c r="R6" s="14">
        <v>9.9879021742001445E-2</v>
      </c>
      <c r="S6" s="14">
        <v>0.16386591063214082</v>
      </c>
      <c r="T6" s="14">
        <v>0.25093425217290516</v>
      </c>
      <c r="U6" s="14">
        <v>0.12726202173604245</v>
      </c>
      <c r="V6" s="14">
        <v>0.2721110274705088</v>
      </c>
      <c r="W6" s="14">
        <v>0.43465253468057879</v>
      </c>
      <c r="X6" s="13">
        <v>429.85200636632248</v>
      </c>
      <c r="Y6" s="13">
        <v>525.32438167634234</v>
      </c>
      <c r="Z6" s="13">
        <v>929.69659686828095</v>
      </c>
      <c r="AA6" s="13">
        <v>1.5414900598219856</v>
      </c>
      <c r="AB6" s="13">
        <v>1.1382420049400372</v>
      </c>
      <c r="AC6" s="13">
        <v>0.8147105072528652</v>
      </c>
      <c r="AD6" s="13">
        <v>7.5955554624163018</v>
      </c>
      <c r="AE6" s="13">
        <v>4.4643485329869819</v>
      </c>
      <c r="AF6" s="13">
        <v>10.459298890232676</v>
      </c>
      <c r="AG6" s="13">
        <v>3.8670518776022584</v>
      </c>
      <c r="AH6" s="13">
        <v>5.3866906467830891</v>
      </c>
      <c r="AI6" s="13">
        <v>11.648313153113827</v>
      </c>
      <c r="AJ6" s="13">
        <v>6.8791342814348404</v>
      </c>
      <c r="AK6" s="13">
        <v>4.1452581333331047</v>
      </c>
      <c r="AL6" s="13">
        <v>9.3996905815136991</v>
      </c>
      <c r="AM6" s="13">
        <v>3.0997297668345145</v>
      </c>
      <c r="AN6" s="13">
        <v>4.1156510376500934</v>
      </c>
      <c r="AO6" s="13">
        <v>6.7608241600819659</v>
      </c>
      <c r="AP6" s="13">
        <v>1.9076166817638349</v>
      </c>
      <c r="AQ6" s="13">
        <v>1.6123352793569994</v>
      </c>
      <c r="AR6" s="13">
        <v>3.6846959505185874</v>
      </c>
      <c r="AS6" s="13">
        <v>1.1941178071483949</v>
      </c>
      <c r="AT6" s="13">
        <v>1.9305923589712561</v>
      </c>
      <c r="AU6" s="13">
        <v>5.5934896420596516</v>
      </c>
      <c r="AV6" s="13">
        <v>5.3129347160775199E-2</v>
      </c>
      <c r="AW6" s="13">
        <v>0.10403747894248699</v>
      </c>
      <c r="AX6" s="13">
        <v>6.2009307427541203E-2</v>
      </c>
      <c r="AY6" s="13">
        <v>6.5813823573020305E-2</v>
      </c>
      <c r="AZ6" s="13">
        <v>7.2285416477527897E-2</v>
      </c>
      <c r="BA6" s="13">
        <v>6.4158032745046195E-2</v>
      </c>
      <c r="BB6" s="13">
        <v>1.6468206010569</v>
      </c>
      <c r="BC6" s="13">
        <v>1.5628142564631</v>
      </c>
      <c r="BD6" s="13">
        <v>1.68035881009744</v>
      </c>
      <c r="BE6" s="13">
        <v>1.6599853633614901</v>
      </c>
      <c r="BF6" s="13">
        <v>1.61835185938016</v>
      </c>
      <c r="BG6" s="13">
        <v>1.6055504956928299</v>
      </c>
      <c r="BH6" s="6">
        <v>83.714096310441406</v>
      </c>
      <c r="BI6" s="7">
        <v>79.794996691948498</v>
      </c>
      <c r="BJ6" s="7">
        <v>95.202792003965001</v>
      </c>
      <c r="BK6" s="6">
        <v>31.371523915461601</v>
      </c>
      <c r="BL6" s="7">
        <v>25.4103816793893</v>
      </c>
      <c r="BM6" s="7">
        <v>58.802295918367399</v>
      </c>
      <c r="BN6" s="6">
        <v>2843</v>
      </c>
      <c r="BO6" s="7">
        <v>2886</v>
      </c>
      <c r="BP6" s="7">
        <v>2783</v>
      </c>
      <c r="BQ6" s="6">
        <v>92.280297782244304</v>
      </c>
      <c r="BR6" s="7">
        <v>89.308699537998095</v>
      </c>
      <c r="BS6" s="7">
        <v>97.984527687296406</v>
      </c>
      <c r="BT6" s="6">
        <v>93.513480025194397</v>
      </c>
      <c r="BU6" s="7">
        <v>93.392703800546101</v>
      </c>
      <c r="BV6" s="7">
        <v>93.209447724904507</v>
      </c>
      <c r="BW6" s="6">
        <v>52.349710982658998</v>
      </c>
      <c r="BX6" s="7">
        <v>42.603433098591601</v>
      </c>
      <c r="BY6" s="7">
        <v>37.604515375632502</v>
      </c>
      <c r="BZ6" s="6">
        <v>2783</v>
      </c>
      <c r="CA6" s="7">
        <v>2879</v>
      </c>
      <c r="CB6" s="7">
        <v>2879</v>
      </c>
      <c r="CC6" s="6">
        <v>97.137084050122695</v>
      </c>
      <c r="CD6" s="7">
        <v>96.898642025827201</v>
      </c>
      <c r="CE6" s="7">
        <v>96.635548703894003</v>
      </c>
      <c r="CF6" s="13">
        <f t="shared" si="1"/>
        <v>1.2221052220206639</v>
      </c>
      <c r="CG6" s="13">
        <f t="shared" si="0"/>
        <v>2.1628294927068175</v>
      </c>
      <c r="CH6" s="19">
        <v>1</v>
      </c>
      <c r="CI6" s="16">
        <v>7.4465753424657537</v>
      </c>
      <c r="CJ6" s="19">
        <v>26</v>
      </c>
      <c r="CK6" s="20">
        <v>126</v>
      </c>
    </row>
    <row r="7" spans="1:99" x14ac:dyDescent="0.3">
      <c r="A7" s="12" t="s">
        <v>55</v>
      </c>
      <c r="B7" s="1" t="s">
        <v>137</v>
      </c>
      <c r="C7" s="13">
        <v>16.96352577560603</v>
      </c>
      <c r="D7" s="13">
        <v>22.239209188073346</v>
      </c>
      <c r="E7" s="13">
        <v>53.431460644708793</v>
      </c>
      <c r="F7" s="13">
        <v>22.31897470722339</v>
      </c>
      <c r="G7" s="13">
        <v>22.606968632084154</v>
      </c>
      <c r="H7" s="13">
        <v>55.186132551870529</v>
      </c>
      <c r="I7" s="13">
        <v>10.597554502085098</v>
      </c>
      <c r="J7" s="13">
        <v>14.743571255464039</v>
      </c>
      <c r="K7" s="13">
        <v>26.665206238051063</v>
      </c>
      <c r="L7" s="13">
        <v>283.79471368560803</v>
      </c>
      <c r="M7" s="13">
        <v>363.21106297347978</v>
      </c>
      <c r="N7" s="13">
        <v>1366.8690361651459</v>
      </c>
      <c r="O7" s="13">
        <v>-66.074073681191834</v>
      </c>
      <c r="P7" s="13">
        <v>-41.485944827457487</v>
      </c>
      <c r="Q7" s="13">
        <v>-76.681957285848682</v>
      </c>
      <c r="R7" s="14">
        <v>0.21445064272140962</v>
      </c>
      <c r="S7" s="14">
        <v>0.27994309486896918</v>
      </c>
      <c r="T7" s="14">
        <v>0.23828858567564642</v>
      </c>
      <c r="U7" s="14">
        <v>0.19260268220157778</v>
      </c>
      <c r="V7" s="14">
        <v>0.19184996524194275</v>
      </c>
      <c r="W7" s="14">
        <v>0.17149722132459411</v>
      </c>
      <c r="X7" s="13">
        <v>317.66169620000096</v>
      </c>
      <c r="Y7" s="13">
        <v>441.93854838253446</v>
      </c>
      <c r="Z7" s="13">
        <v>799.28955698558059</v>
      </c>
      <c r="AA7" s="13">
        <v>1.7232248002279054</v>
      </c>
      <c r="AB7" s="13">
        <v>1.6995971361875115</v>
      </c>
      <c r="AC7" s="13">
        <v>1.1232044070035871</v>
      </c>
      <c r="AD7" s="13">
        <v>3.3434946028576129</v>
      </c>
      <c r="AE7" s="13">
        <v>4.4426701704213203</v>
      </c>
      <c r="AF7" s="13">
        <v>8.0826944833574608</v>
      </c>
      <c r="AG7" s="13">
        <v>5.5197187888385884</v>
      </c>
      <c r="AH7" s="13">
        <v>4.3749543329570244</v>
      </c>
      <c r="AI7" s="13">
        <v>8.9919952726071468</v>
      </c>
      <c r="AJ7" s="13">
        <v>3.5901391831358684</v>
      </c>
      <c r="AK7" s="13">
        <v>6.9634122490952413</v>
      </c>
      <c r="AL7" s="13">
        <v>6.9816537465099913</v>
      </c>
      <c r="AM7" s="13">
        <v>5.5199475821689328</v>
      </c>
      <c r="AN7" s="13">
        <v>4.5885312828593339</v>
      </c>
      <c r="AO7" s="13">
        <v>6.7008747737827781</v>
      </c>
      <c r="AP7" s="13">
        <v>1.4957728506454286</v>
      </c>
      <c r="AQ7" s="13">
        <v>4.8479469650081946</v>
      </c>
      <c r="AR7" s="13">
        <v>2.9223205896253162</v>
      </c>
      <c r="AS7" s="13">
        <v>0.74651038764058553</v>
      </c>
      <c r="AT7" s="13">
        <v>2.6465379942427374</v>
      </c>
      <c r="AU7" s="13">
        <v>3.8153345496752742</v>
      </c>
      <c r="AV7" s="13">
        <v>9.9636319855521002E-2</v>
      </c>
      <c r="AW7" s="13">
        <v>9.9501016224771199E-2</v>
      </c>
      <c r="AX7" s="13">
        <v>7.2935426570696002E-2</v>
      </c>
      <c r="AY7" s="13">
        <v>2.9770820305974201E-2</v>
      </c>
      <c r="AZ7" s="13">
        <v>5.6145566474952197E-2</v>
      </c>
      <c r="BA7" s="13">
        <v>6.4883487307152002E-2</v>
      </c>
      <c r="BB7" s="13">
        <v>1.5523617821859701</v>
      </c>
      <c r="BC7" s="13">
        <v>1.5707578511926801</v>
      </c>
      <c r="BD7" s="13">
        <v>1.58196936832007</v>
      </c>
      <c r="BE7" s="13">
        <v>1.69430944224618</v>
      </c>
      <c r="BF7" s="13">
        <v>1.7070276025496001</v>
      </c>
      <c r="BG7" s="13">
        <v>1.65698325952176</v>
      </c>
      <c r="BH7" s="6">
        <v>77.670700214704794</v>
      </c>
      <c r="BI7" s="7">
        <v>82.014030014069107</v>
      </c>
      <c r="BJ7" s="7">
        <v>90.193879980949404</v>
      </c>
      <c r="BK7" s="6">
        <v>26.948506694129801</v>
      </c>
      <c r="BL7" s="7">
        <v>25.9483771251932</v>
      </c>
      <c r="BM7" s="7">
        <v>35.929249011857699</v>
      </c>
      <c r="BN7" s="6">
        <v>2843</v>
      </c>
      <c r="BO7" s="7">
        <v>2861</v>
      </c>
      <c r="BP7" s="7">
        <v>2839</v>
      </c>
      <c r="BQ7" s="6">
        <v>88.196524572889302</v>
      </c>
      <c r="BR7" s="7">
        <v>91.007679485079507</v>
      </c>
      <c r="BS7" s="7">
        <v>95.068686157097602</v>
      </c>
      <c r="BT7" s="6">
        <v>95.546610304504398</v>
      </c>
      <c r="BU7" s="7">
        <v>92.974037281830107</v>
      </c>
      <c r="BV7" s="7">
        <v>96.115586476260205</v>
      </c>
      <c r="BW7" s="6">
        <v>57.555982085732602</v>
      </c>
      <c r="BX7" s="7">
        <v>42.043400447427302</v>
      </c>
      <c r="BY7" s="7">
        <v>44.891686460807598</v>
      </c>
      <c r="BZ7" s="6">
        <v>2744</v>
      </c>
      <c r="CA7" s="7">
        <v>2843</v>
      </c>
      <c r="CB7" s="7">
        <v>2804</v>
      </c>
      <c r="CC7" s="6">
        <v>98.312492475831107</v>
      </c>
      <c r="CD7" s="7">
        <v>96.638696458191106</v>
      </c>
      <c r="CE7" s="7">
        <v>98.271634651544105</v>
      </c>
      <c r="CF7" s="13">
        <f t="shared" si="1"/>
        <v>1.3912239142118297</v>
      </c>
      <c r="CG7" s="13">
        <f t="shared" si="0"/>
        <v>2.5161659921451309</v>
      </c>
      <c r="CH7" s="19">
        <v>2</v>
      </c>
      <c r="CI7" s="16">
        <v>7.2904109589041095</v>
      </c>
      <c r="CJ7" s="19">
        <v>33</v>
      </c>
      <c r="CK7" s="20">
        <v>131</v>
      </c>
    </row>
    <row r="8" spans="1:99" x14ac:dyDescent="0.3">
      <c r="A8" s="12" t="s">
        <v>56</v>
      </c>
      <c r="B8" s="1" t="s">
        <v>137</v>
      </c>
      <c r="C8" s="13">
        <v>17.296114087674425</v>
      </c>
      <c r="D8" s="13">
        <v>29.515622318670154</v>
      </c>
      <c r="E8" s="13">
        <v>50.562008443625004</v>
      </c>
      <c r="F8" s="13">
        <v>16.600471893344029</v>
      </c>
      <c r="G8" s="13">
        <v>30.168622414295356</v>
      </c>
      <c r="H8" s="13">
        <v>36.063305656965909</v>
      </c>
      <c r="I8" s="13">
        <v>18.80176570792359</v>
      </c>
      <c r="J8" s="13">
        <v>23.887418148600151</v>
      </c>
      <c r="K8" s="13">
        <v>31.766763172670547</v>
      </c>
      <c r="L8" s="13">
        <v>234.35519152153671</v>
      </c>
      <c r="M8" s="13">
        <v>573.031387623922</v>
      </c>
      <c r="N8" s="13">
        <v>1476.9975096623966</v>
      </c>
      <c r="O8" s="13">
        <v>-64.993077903492065</v>
      </c>
      <c r="P8" s="13">
        <v>-7.9797518253719604</v>
      </c>
      <c r="Q8" s="13">
        <v>-13.670886542372619</v>
      </c>
      <c r="R8" s="14">
        <v>0.18845454534560771</v>
      </c>
      <c r="S8" s="14">
        <v>0.12536905696262551</v>
      </c>
      <c r="T8" s="14">
        <v>0.17466362863483892</v>
      </c>
      <c r="U8" s="14">
        <v>0.34809260366703071</v>
      </c>
      <c r="V8" s="14">
        <v>0.31587279433001436</v>
      </c>
      <c r="W8" s="14">
        <v>0.47206049114891147</v>
      </c>
      <c r="X8" s="13">
        <v>563.5829270950095</v>
      </c>
      <c r="Y8" s="13">
        <v>716.02535900428927</v>
      </c>
      <c r="Z8" s="13">
        <v>952.20872610079971</v>
      </c>
      <c r="AA8" s="13">
        <v>1.8143560146351161</v>
      </c>
      <c r="AB8" s="13">
        <v>1.4079835311843223</v>
      </c>
      <c r="AC8" s="13">
        <v>1.1504497931514026</v>
      </c>
      <c r="AD8" s="13">
        <v>3.3462196418921737</v>
      </c>
      <c r="AE8" s="13">
        <v>6.427431075981497</v>
      </c>
      <c r="AF8" s="13">
        <v>11.675112254538172</v>
      </c>
      <c r="AG8" s="13">
        <v>3.7542742309433756</v>
      </c>
      <c r="AH8" s="13">
        <v>4.7520204858197852</v>
      </c>
      <c r="AI8" s="13">
        <v>6.9905739686878459</v>
      </c>
      <c r="AJ8" s="13">
        <v>3.3364541069541831</v>
      </c>
      <c r="AK8" s="13">
        <v>5.2313171741424949</v>
      </c>
      <c r="AL8" s="13">
        <v>9.9168449258861191</v>
      </c>
      <c r="AM8" s="13">
        <v>2.9377370843035124</v>
      </c>
      <c r="AN8" s="13">
        <v>3.7273704790716238</v>
      </c>
      <c r="AO8" s="13">
        <v>4.5906690688248206</v>
      </c>
      <c r="AP8" s="13">
        <v>0.94903109507178396</v>
      </c>
      <c r="AQ8" s="13">
        <v>2.7048717253118939</v>
      </c>
      <c r="AR8" s="13">
        <v>3.4577881939509005</v>
      </c>
      <c r="AS8" s="13">
        <v>1.5717726945465218</v>
      </c>
      <c r="AT8" s="13">
        <v>2.379071334770682</v>
      </c>
      <c r="AU8" s="13">
        <v>4.6815001490472854</v>
      </c>
      <c r="AV8" s="13">
        <v>0.21725317141601699</v>
      </c>
      <c r="AW8" s="13">
        <v>0.11005651696367399</v>
      </c>
      <c r="AX8" s="13">
        <v>6.9914834052191496E-2</v>
      </c>
      <c r="AY8" s="13">
        <v>8.31701586213799E-2</v>
      </c>
      <c r="AZ8" s="13">
        <v>0.103838084106739</v>
      </c>
      <c r="BA8" s="13">
        <v>0.10683270553201001</v>
      </c>
      <c r="BB8" s="13">
        <v>1.50957891217034</v>
      </c>
      <c r="BC8" s="13">
        <v>1.5459435566989099</v>
      </c>
      <c r="BD8" s="13">
        <v>1.52756881460856</v>
      </c>
      <c r="BE8" s="13">
        <v>1.56401123209076</v>
      </c>
      <c r="BF8" s="13">
        <v>1.5045678884865299</v>
      </c>
      <c r="BG8" s="13">
        <v>1.5492718948456199</v>
      </c>
      <c r="BH8" s="6">
        <v>71.807432785309899</v>
      </c>
      <c r="BI8" s="7">
        <v>80.509011864867304</v>
      </c>
      <c r="BJ8" s="7">
        <v>85.139560885353305</v>
      </c>
      <c r="BK8" s="6">
        <v>33.243230174081198</v>
      </c>
      <c r="BL8" s="7">
        <v>35.587633451957302</v>
      </c>
      <c r="BM8" s="7">
        <v>35.107303141574903</v>
      </c>
      <c r="BN8" s="6">
        <v>2767</v>
      </c>
      <c r="BO8" s="7">
        <v>2819</v>
      </c>
      <c r="BP8" s="7">
        <v>2843</v>
      </c>
      <c r="BQ8" s="6">
        <v>82.764461193138501</v>
      </c>
      <c r="BR8" s="7">
        <v>89.339048809771896</v>
      </c>
      <c r="BS8" s="7">
        <v>91.450789840861006</v>
      </c>
      <c r="BT8" s="6">
        <v>90.8922500661605</v>
      </c>
      <c r="BU8" s="7">
        <v>88.497959428041199</v>
      </c>
      <c r="BV8" s="7">
        <v>87.595838410347696</v>
      </c>
      <c r="BW8" s="6">
        <v>42.321327014217999</v>
      </c>
      <c r="BX8" s="7">
        <v>32.215764620414099</v>
      </c>
      <c r="BY8" s="7">
        <v>31.319034852546899</v>
      </c>
      <c r="BZ8" s="6">
        <v>2803</v>
      </c>
      <c r="CA8" s="7">
        <v>2831</v>
      </c>
      <c r="CB8" s="7">
        <v>2921</v>
      </c>
      <c r="CC8" s="6">
        <v>95.713912973667306</v>
      </c>
      <c r="CD8" s="7">
        <v>94.923892830084696</v>
      </c>
      <c r="CE8" s="7">
        <v>92.198870098288495</v>
      </c>
      <c r="CF8" s="13">
        <f t="shared" si="1"/>
        <v>1.2704880232888618</v>
      </c>
      <c r="CG8" s="13">
        <f t="shared" si="0"/>
        <v>1.6895627605487686</v>
      </c>
      <c r="CH8" s="22">
        <v>2</v>
      </c>
      <c r="CI8" s="16">
        <v>8.0904109589041102</v>
      </c>
      <c r="CJ8" s="22">
        <v>20.3</v>
      </c>
      <c r="CK8" s="23">
        <v>122</v>
      </c>
    </row>
    <row r="9" spans="1:99" x14ac:dyDescent="0.3">
      <c r="A9" s="12" t="s">
        <v>57</v>
      </c>
      <c r="B9" s="1" t="s">
        <v>137</v>
      </c>
      <c r="C9" s="13">
        <v>22.423917392008406</v>
      </c>
      <c r="D9" s="13">
        <v>34.352108139457158</v>
      </c>
      <c r="E9" s="13">
        <v>34.95205965914613</v>
      </c>
      <c r="F9" s="13">
        <v>12.350326182197353</v>
      </c>
      <c r="G9" s="13">
        <v>22.697045851090238</v>
      </c>
      <c r="H9" s="13">
        <v>21.76823189741296</v>
      </c>
      <c r="I9" s="13">
        <v>15.016213314145913</v>
      </c>
      <c r="J9" s="13">
        <v>21.318934783653852</v>
      </c>
      <c r="K9" s="13">
        <v>21.677632253458643</v>
      </c>
      <c r="L9" s="13">
        <v>210.75178624647722</v>
      </c>
      <c r="M9" s="13">
        <v>368.87417434964578</v>
      </c>
      <c r="N9" s="13">
        <v>448.38519495887027</v>
      </c>
      <c r="O9" s="13">
        <v>15.479320658066333</v>
      </c>
      <c r="P9" s="13">
        <v>26.755705497676569</v>
      </c>
      <c r="Q9" s="13">
        <v>-8.0576100248713242E-2</v>
      </c>
      <c r="R9" s="14">
        <v>0.16753008906392827</v>
      </c>
      <c r="S9" s="14">
        <v>0.29502938495274361</v>
      </c>
      <c r="T9" s="14">
        <v>0.2983897841279407</v>
      </c>
      <c r="U9" s="14">
        <v>0.12131190352345615</v>
      </c>
      <c r="V9" s="14">
        <v>0.23305312066565614</v>
      </c>
      <c r="W9" s="14">
        <v>0.34315541202737826</v>
      </c>
      <c r="X9" s="13">
        <v>450.11099409152371</v>
      </c>
      <c r="Y9" s="13">
        <v>639.03507014002446</v>
      </c>
      <c r="Z9" s="13">
        <v>649.78702679742219</v>
      </c>
      <c r="AA9" s="13">
        <v>1.4703866645370689</v>
      </c>
      <c r="AB9" s="13">
        <v>1.5870907953942304</v>
      </c>
      <c r="AC9" s="13">
        <v>1.6057460239108814</v>
      </c>
      <c r="AD9" s="13">
        <v>4.4630986486556123</v>
      </c>
      <c r="AE9" s="13">
        <v>5.9249376152347564</v>
      </c>
      <c r="AF9" s="13">
        <v>6.6553187567238821</v>
      </c>
      <c r="AG9" s="13">
        <v>2.6525259530208678</v>
      </c>
      <c r="AH9" s="13">
        <v>3.9731199666208217</v>
      </c>
      <c r="AI9" s="13">
        <v>3.5772096789326615</v>
      </c>
      <c r="AJ9" s="13">
        <v>3.7866593260750632</v>
      </c>
      <c r="AK9" s="13">
        <v>4.7655871787742488</v>
      </c>
      <c r="AL9" s="13">
        <v>6.6251266758055394</v>
      </c>
      <c r="AM9" s="13">
        <v>2.3578284815127737</v>
      </c>
      <c r="AN9" s="13">
        <v>3.1500721609773761</v>
      </c>
      <c r="AO9" s="13">
        <v>2.757375991305957</v>
      </c>
      <c r="AP9" s="13">
        <v>1.8044084358416825</v>
      </c>
      <c r="AQ9" s="13">
        <v>2.8341612261659264</v>
      </c>
      <c r="AR9" s="13">
        <v>5.3614924978550995</v>
      </c>
      <c r="AS9" s="13">
        <v>1.0793441273904774</v>
      </c>
      <c r="AT9" s="13">
        <v>2.1035304774019474</v>
      </c>
      <c r="AU9" s="13">
        <v>3.5297340757825144</v>
      </c>
      <c r="AV9" s="13">
        <v>9.8755817765228404E-2</v>
      </c>
      <c r="AW9" s="13">
        <v>0.109527480508506</v>
      </c>
      <c r="AX9" s="13">
        <v>9.6257670516648894E-2</v>
      </c>
      <c r="AY9" s="13">
        <v>0.11399567479624</v>
      </c>
      <c r="AZ9" s="13">
        <v>9.7548014632947405E-2</v>
      </c>
      <c r="BA9" s="13">
        <v>0.11907109928333399</v>
      </c>
      <c r="BB9" s="13">
        <v>1.5362525457890299</v>
      </c>
      <c r="BC9" s="13">
        <v>1.5176753774743701</v>
      </c>
      <c r="BD9" s="13">
        <v>1.59542524321674</v>
      </c>
      <c r="BE9" s="13">
        <v>1.3543899933617101</v>
      </c>
      <c r="BF9" s="13">
        <v>1.39007411575147</v>
      </c>
      <c r="BG9" s="13">
        <v>1.5534361361601301</v>
      </c>
      <c r="BH9" s="6">
        <v>83.294034771889002</v>
      </c>
      <c r="BI9" s="7">
        <v>86.118517498204397</v>
      </c>
      <c r="BJ9" s="7">
        <v>90.909461041274398</v>
      </c>
      <c r="BK9" s="6">
        <v>29.6015299026426</v>
      </c>
      <c r="BL9" s="7">
        <v>31.633538127936401</v>
      </c>
      <c r="BM9" s="7">
        <v>36.967715231788098</v>
      </c>
      <c r="BN9" s="6">
        <v>2859</v>
      </c>
      <c r="BO9" s="7">
        <v>2851</v>
      </c>
      <c r="BP9" s="7">
        <v>2803</v>
      </c>
      <c r="BQ9" s="6">
        <v>92.058009050647001</v>
      </c>
      <c r="BR9" s="7">
        <v>93.426478435938506</v>
      </c>
      <c r="BS9" s="7">
        <v>95.507641976175904</v>
      </c>
      <c r="BT9" s="6">
        <v>88.473746529885304</v>
      </c>
      <c r="BU9" s="7">
        <v>88.961308409323195</v>
      </c>
      <c r="BV9" s="7">
        <v>83.410065089696801</v>
      </c>
      <c r="BW9" s="6">
        <v>38.3593615185505</v>
      </c>
      <c r="BX9" s="7">
        <v>30.798878766643298</v>
      </c>
      <c r="BY9" s="7">
        <v>27.6344510190664</v>
      </c>
      <c r="BZ9" s="6">
        <v>2835</v>
      </c>
      <c r="CA9" s="7">
        <v>2811</v>
      </c>
      <c r="CB9" s="7">
        <v>2839</v>
      </c>
      <c r="CC9" s="6">
        <v>94.107575623779695</v>
      </c>
      <c r="CD9" s="7">
        <v>94.625946733457695</v>
      </c>
      <c r="CE9" s="7">
        <v>92.407831396031497</v>
      </c>
      <c r="CF9" s="13">
        <f t="shared" si="1"/>
        <v>1.4197277527730987</v>
      </c>
      <c r="CG9" s="13">
        <f t="shared" si="0"/>
        <v>1.4436150978913818</v>
      </c>
      <c r="CH9" s="22">
        <v>2</v>
      </c>
      <c r="CI9" s="16">
        <v>9.2657534246575342</v>
      </c>
      <c r="CJ9" s="22">
        <v>33.200000000000003</v>
      </c>
      <c r="CK9" s="23">
        <v>135</v>
      </c>
    </row>
    <row r="10" spans="1:99" x14ac:dyDescent="0.3">
      <c r="A10" s="12" t="s">
        <v>58</v>
      </c>
      <c r="B10" s="1" t="s">
        <v>137</v>
      </c>
      <c r="C10" s="13">
        <v>19.853227994398935</v>
      </c>
      <c r="D10" s="13">
        <v>34.005073135349818</v>
      </c>
      <c r="E10" s="13">
        <v>41.493978909503426</v>
      </c>
      <c r="F10" s="13">
        <v>11.890877037099742</v>
      </c>
      <c r="G10" s="13">
        <v>9.222634834590334</v>
      </c>
      <c r="H10" s="13">
        <v>27.802365656878838</v>
      </c>
      <c r="I10" s="13">
        <v>12.678277944283572</v>
      </c>
      <c r="J10" s="13">
        <v>15.829287042671226</v>
      </c>
      <c r="K10" s="13">
        <v>19.551512553936593</v>
      </c>
      <c r="L10" s="13">
        <v>206.19349721925485</v>
      </c>
      <c r="M10" s="13">
        <v>204.61186211886817</v>
      </c>
      <c r="N10" s="13">
        <v>616.68610376692891</v>
      </c>
      <c r="O10" s="13">
        <v>-13.622276466196579</v>
      </c>
      <c r="P10" s="13">
        <v>10.759911519485911</v>
      </c>
      <c r="Q10" s="13">
        <v>20.677359834867161</v>
      </c>
      <c r="R10" s="14">
        <v>6.8842714346476985E-2</v>
      </c>
      <c r="S10" s="14">
        <v>0.19064202285805432</v>
      </c>
      <c r="T10" s="14">
        <v>0.38688977528759383</v>
      </c>
      <c r="U10" s="14">
        <v>0.10499535740436639</v>
      </c>
      <c r="V10" s="14">
        <v>0.47621311655527665</v>
      </c>
      <c r="W10" s="14">
        <v>0.17245009405327716</v>
      </c>
      <c r="X10" s="13">
        <v>380.03138137990027</v>
      </c>
      <c r="Y10" s="13">
        <v>474.48287910406992</v>
      </c>
      <c r="Z10" s="13">
        <v>586.05658880424915</v>
      </c>
      <c r="AA10" s="13">
        <v>2.3082689779859242</v>
      </c>
      <c r="AB10" s="13">
        <v>2.5400999743326169</v>
      </c>
      <c r="AC10" s="13">
        <v>1.9284991672327048</v>
      </c>
      <c r="AD10" s="13">
        <v>4.6858959682527637</v>
      </c>
      <c r="AE10" s="13">
        <v>7.3123614431849386</v>
      </c>
      <c r="AF10" s="13">
        <v>6.2546091223567544</v>
      </c>
      <c r="AG10" s="13">
        <v>2.4914886730355836</v>
      </c>
      <c r="AH10" s="13">
        <v>1.9968299099769886</v>
      </c>
      <c r="AI10" s="13">
        <v>5.293082758314597</v>
      </c>
      <c r="AJ10" s="13">
        <v>5.7583816264922048</v>
      </c>
      <c r="AK10" s="13">
        <v>7.7200580280773679</v>
      </c>
      <c r="AL10" s="13">
        <v>4.7623208335099605</v>
      </c>
      <c r="AM10" s="13">
        <v>2.5242992170693954</v>
      </c>
      <c r="AN10" s="13">
        <v>1.8580780179646852</v>
      </c>
      <c r="AO10" s="13">
        <v>4.5307449925899199</v>
      </c>
      <c r="AP10" s="13">
        <v>2.1420980851210647</v>
      </c>
      <c r="AQ10" s="13">
        <v>2.0731408133972948</v>
      </c>
      <c r="AR10" s="13">
        <v>3.324990478724021</v>
      </c>
      <c r="AS10" s="13">
        <v>0.63926334056850787</v>
      </c>
      <c r="AT10" s="13">
        <v>1.0271050728921272</v>
      </c>
      <c r="AU10" s="13">
        <v>1.6085584252358727</v>
      </c>
      <c r="AV10" s="13">
        <v>9.6656979225120995E-2</v>
      </c>
      <c r="AW10" s="13">
        <v>7.4204012157320198E-2</v>
      </c>
      <c r="AX10" s="13">
        <v>9.8819538276948296E-2</v>
      </c>
      <c r="AY10" s="13">
        <v>6.4305151776292299E-2</v>
      </c>
      <c r="AZ10" s="13">
        <v>0.111006167936525</v>
      </c>
      <c r="BA10" s="13">
        <v>5.3090421070049798E-2</v>
      </c>
      <c r="BB10" s="13">
        <v>1.5686187365600099</v>
      </c>
      <c r="BC10" s="13">
        <v>1.5594151135410801</v>
      </c>
      <c r="BD10" s="13">
        <v>1.5797261933229401</v>
      </c>
      <c r="BE10" s="13">
        <v>1.4680844772461099</v>
      </c>
      <c r="BF10" s="13">
        <v>1.4549708442101199</v>
      </c>
      <c r="BG10" s="13">
        <v>1.7045930414775501</v>
      </c>
      <c r="BH10" s="6">
        <v>86.3763684570647</v>
      </c>
      <c r="BI10" s="7">
        <v>85.022026431718103</v>
      </c>
      <c r="BJ10" s="7">
        <v>86.816248859201195</v>
      </c>
      <c r="BK10" s="6">
        <v>39.0115886045389</v>
      </c>
      <c r="BL10" s="7">
        <v>31.8474825431827</v>
      </c>
      <c r="BM10" s="7">
        <v>37.211402413649601</v>
      </c>
      <c r="BN10" s="6">
        <v>2735</v>
      </c>
      <c r="BO10" s="7">
        <v>2855</v>
      </c>
      <c r="BP10" s="7">
        <v>2870</v>
      </c>
      <c r="BQ10" s="6">
        <v>92.808522296215102</v>
      </c>
      <c r="BR10" s="7">
        <v>92.359532079999198</v>
      </c>
      <c r="BS10" s="7">
        <v>92.660401116499997</v>
      </c>
      <c r="BT10" s="6">
        <v>84.421138275916803</v>
      </c>
      <c r="BU10" s="7">
        <v>86.459611350773699</v>
      </c>
      <c r="BV10" s="7">
        <v>94.834837287166707</v>
      </c>
      <c r="BW10" s="6">
        <v>33.016298020954601</v>
      </c>
      <c r="BX10" s="7">
        <v>34.402755905511803</v>
      </c>
      <c r="BY10" s="7">
        <v>62.143143812708999</v>
      </c>
      <c r="BZ10" s="6">
        <v>2839</v>
      </c>
      <c r="CA10" s="7">
        <v>2843</v>
      </c>
      <c r="CB10" s="7">
        <v>2799</v>
      </c>
      <c r="CC10" s="6">
        <v>92.518883801025396</v>
      </c>
      <c r="CD10" s="7">
        <v>92.536345009269198</v>
      </c>
      <c r="CE10" s="7">
        <v>97.663640755203105</v>
      </c>
      <c r="CF10" s="13">
        <f t="shared" si="1"/>
        <v>1.2485360482105838</v>
      </c>
      <c r="CG10" s="13">
        <f t="shared" si="0"/>
        <v>1.5421268282536771</v>
      </c>
      <c r="CH10" s="22">
        <v>2</v>
      </c>
      <c r="CI10" s="16">
        <v>9.0082191780821912</v>
      </c>
      <c r="CJ10" s="22">
        <v>26.3</v>
      </c>
      <c r="CK10" s="23">
        <v>129</v>
      </c>
    </row>
    <row r="11" spans="1:99" ht="15" thickBot="1" x14ac:dyDescent="0.35">
      <c r="A11" s="12" t="s">
        <v>59</v>
      </c>
      <c r="B11" s="1" t="s">
        <v>137</v>
      </c>
      <c r="C11" s="13">
        <v>19.333919726078051</v>
      </c>
      <c r="D11" s="13">
        <v>18.950889212611997</v>
      </c>
      <c r="E11" s="13">
        <v>32.130761531079116</v>
      </c>
      <c r="F11" s="13">
        <v>7.1805442298798576</v>
      </c>
      <c r="G11" s="13">
        <v>10.749925467036258</v>
      </c>
      <c r="H11" s="13">
        <v>21.231525117963056</v>
      </c>
      <c r="I11" s="13">
        <v>9.2965086427579333</v>
      </c>
      <c r="J11" s="13">
        <v>10.853635915135346</v>
      </c>
      <c r="K11" s="13">
        <v>12.050535489681561</v>
      </c>
      <c r="L11" s="13">
        <v>124.11445109552614</v>
      </c>
      <c r="M11" s="13">
        <v>138.46047165351891</v>
      </c>
      <c r="N11" s="13">
        <v>354.36442057041455</v>
      </c>
      <c r="O11" s="13">
        <v>-0.33384785681388368</v>
      </c>
      <c r="P11" s="13">
        <v>-28.680816951525426</v>
      </c>
      <c r="Q11" s="13">
        <v>-21.19734930742759</v>
      </c>
      <c r="R11" s="14">
        <v>0.1085795913177143</v>
      </c>
      <c r="S11" s="14">
        <v>0.23867052245993386</v>
      </c>
      <c r="T11" s="14">
        <v>0.13098876246292812</v>
      </c>
      <c r="U11" s="14">
        <v>0.30261413351406352</v>
      </c>
      <c r="V11" s="14">
        <v>0.25335523945352734</v>
      </c>
      <c r="W11" s="14">
        <v>0.22854664088502111</v>
      </c>
      <c r="X11" s="13">
        <v>278.6628465666692</v>
      </c>
      <c r="Y11" s="13">
        <v>325.33773655618188</v>
      </c>
      <c r="Z11" s="13">
        <v>361.21480130320469</v>
      </c>
      <c r="AA11" s="13">
        <v>1.5461588373837742</v>
      </c>
      <c r="AB11" s="13">
        <v>1.7160591615427907</v>
      </c>
      <c r="AC11" s="13">
        <v>1.4053996450289516</v>
      </c>
      <c r="AD11" s="13">
        <v>4.7673373814042224</v>
      </c>
      <c r="AE11" s="13">
        <v>3.5798636786659377</v>
      </c>
      <c r="AF11" s="13">
        <v>7.9582534684707342</v>
      </c>
      <c r="AG11" s="13">
        <v>1.3825513110189811</v>
      </c>
      <c r="AH11" s="13">
        <v>2.50212621137897</v>
      </c>
      <c r="AI11" s="13">
        <v>3.7008210397819319</v>
      </c>
      <c r="AJ11" s="13">
        <v>3.8507633560925001</v>
      </c>
      <c r="AK11" s="13">
        <v>3.2236374372350789</v>
      </c>
      <c r="AL11" s="13">
        <v>7.6588359659146228</v>
      </c>
      <c r="AM11" s="13">
        <v>5.7750196566038516</v>
      </c>
      <c r="AN11" s="13">
        <v>2.4742280448790219</v>
      </c>
      <c r="AO11" s="13">
        <v>3.2921404014827265</v>
      </c>
      <c r="AP11" s="13">
        <v>0.43543437203570978</v>
      </c>
      <c r="AQ11" s="13">
        <v>2.163254735997326</v>
      </c>
      <c r="AR11" s="13">
        <v>2.6468662379983399</v>
      </c>
      <c r="AS11" s="13">
        <v>5.8745615758885323</v>
      </c>
      <c r="AT11" s="13">
        <v>3.3079016828050078</v>
      </c>
      <c r="AU11" s="13">
        <v>1.2447998123727362</v>
      </c>
      <c r="AV11" s="13">
        <v>5.4782298997647201E-2</v>
      </c>
      <c r="AW11" s="13">
        <v>8.9210907006676804E-2</v>
      </c>
      <c r="AX11" s="13">
        <v>3.9889130811739601E-2</v>
      </c>
      <c r="AY11" s="13">
        <v>0.146862505642922</v>
      </c>
      <c r="AZ11" s="13">
        <v>7.5120796474142298E-2</v>
      </c>
      <c r="BA11" s="13">
        <v>6.2647928660716806E-2</v>
      </c>
      <c r="BB11" s="13">
        <v>1.50916931000796</v>
      </c>
      <c r="BC11" s="13">
        <v>1.5583133117791701</v>
      </c>
      <c r="BD11" s="13">
        <v>1.6408203473912899</v>
      </c>
      <c r="BE11" s="13">
        <v>1.3949899511494199</v>
      </c>
      <c r="BF11" s="13">
        <v>1.44162678039704</v>
      </c>
      <c r="BG11" s="13">
        <v>1.5711079389037199</v>
      </c>
      <c r="BH11" s="6">
        <v>88.601549924848896</v>
      </c>
      <c r="BI11" s="7">
        <v>85.841662764896299</v>
      </c>
      <c r="BJ11" s="7">
        <v>92.0273007573565</v>
      </c>
      <c r="BK11" s="6">
        <v>39.040864255518997</v>
      </c>
      <c r="BL11" s="7">
        <v>33.9790491539081</v>
      </c>
      <c r="BM11" s="7">
        <v>46.626390293225498</v>
      </c>
      <c r="BN11" s="6">
        <v>2739</v>
      </c>
      <c r="BO11" s="7">
        <v>2803</v>
      </c>
      <c r="BP11" s="7">
        <v>2831</v>
      </c>
      <c r="BQ11" s="6">
        <v>94.002479486452103</v>
      </c>
      <c r="BR11" s="7">
        <v>92.730411046884996</v>
      </c>
      <c r="BS11" s="7">
        <v>96.920783603750806</v>
      </c>
      <c r="BT11" s="6">
        <v>76.023587682439199</v>
      </c>
      <c r="BU11" s="7">
        <v>77.590926483718107</v>
      </c>
      <c r="BV11" s="7">
        <v>89.339546935578994</v>
      </c>
      <c r="BW11" s="6">
        <v>28.976015473887799</v>
      </c>
      <c r="BX11" s="7">
        <v>27.027682843472299</v>
      </c>
      <c r="BY11" s="7">
        <v>33.036467643904203</v>
      </c>
      <c r="BZ11" s="6">
        <v>2807</v>
      </c>
      <c r="CA11" s="7">
        <v>2855</v>
      </c>
      <c r="CB11" s="7">
        <v>2876</v>
      </c>
      <c r="CC11" s="6">
        <v>87.033423396377501</v>
      </c>
      <c r="CD11" s="7">
        <v>88.449071610337597</v>
      </c>
      <c r="CE11" s="7">
        <v>95.520537821536706</v>
      </c>
      <c r="CF11" s="13">
        <f t="shared" si="1"/>
        <v>1.1674959204809021</v>
      </c>
      <c r="CG11" s="13">
        <f t="shared" si="0"/>
        <v>1.2962431330679212</v>
      </c>
      <c r="CH11" s="24">
        <v>1</v>
      </c>
      <c r="CI11" s="16">
        <v>8.1260273972602732</v>
      </c>
      <c r="CJ11" s="24">
        <v>33.200000000000003</v>
      </c>
      <c r="CK11" s="25">
        <v>135</v>
      </c>
    </row>
    <row r="12" spans="1:99" x14ac:dyDescent="0.3">
      <c r="A12" s="12" t="s">
        <v>60</v>
      </c>
      <c r="B12" s="1" t="s">
        <v>137</v>
      </c>
      <c r="C12" s="13">
        <v>44.30701903757236</v>
      </c>
      <c r="D12" s="13">
        <v>25.793414114074778</v>
      </c>
      <c r="E12" s="13">
        <v>40.11767892566192</v>
      </c>
      <c r="F12" s="13">
        <v>22.758662015086855</v>
      </c>
      <c r="G12" s="13">
        <v>16.597923403357456</v>
      </c>
      <c r="H12" s="13">
        <v>35.046267056612706</v>
      </c>
      <c r="I12" s="13">
        <v>15.160782668914271</v>
      </c>
      <c r="J12" s="13">
        <v>16.982857887618916</v>
      </c>
      <c r="K12" s="13">
        <v>24.257703005961051</v>
      </c>
      <c r="L12" s="13">
        <v>948.14467628908073</v>
      </c>
      <c r="M12" s="13">
        <v>366.68821884304896</v>
      </c>
      <c r="N12" s="13">
        <v>1034.3433791726884</v>
      </c>
      <c r="O12" s="13">
        <v>0.41735284435826842</v>
      </c>
      <c r="P12" s="13">
        <v>-8.4324630570927663</v>
      </c>
      <c r="Q12" s="13">
        <v>-5.2058547604308743</v>
      </c>
      <c r="R12" s="14">
        <v>9.8101555702286625E-2</v>
      </c>
      <c r="S12" s="14">
        <v>0.16370400235385801</v>
      </c>
      <c r="T12" s="14">
        <v>0.35302435523045067</v>
      </c>
      <c r="U12" s="14">
        <v>0.26818133252551163</v>
      </c>
      <c r="V12" s="14">
        <v>0.35816978647423148</v>
      </c>
      <c r="W12" s="14">
        <v>0.2036799541431617</v>
      </c>
      <c r="X12" s="13">
        <v>454.44446050070502</v>
      </c>
      <c r="Y12" s="13">
        <v>509.06116518137731</v>
      </c>
      <c r="Z12" s="13">
        <v>727.12464760368232</v>
      </c>
      <c r="AA12" s="13">
        <v>1.4690215410836882</v>
      </c>
      <c r="AB12" s="13">
        <v>1.7391646091161435</v>
      </c>
      <c r="AC12" s="13">
        <v>1.5402618464921414</v>
      </c>
      <c r="AD12" s="13">
        <v>10.005734522475677</v>
      </c>
      <c r="AE12" s="13">
        <v>6.2338199282908242</v>
      </c>
      <c r="AF12" s="13">
        <v>8.1334536525358878</v>
      </c>
      <c r="AG12" s="13">
        <v>5.0316718852325044</v>
      </c>
      <c r="AH12" s="13">
        <v>3.1998284708843681</v>
      </c>
      <c r="AI12" s="13">
        <v>6.7562601327206355</v>
      </c>
      <c r="AJ12" s="13">
        <v>13.175224164245016</v>
      </c>
      <c r="AK12" s="13">
        <v>8.4629191173251517</v>
      </c>
      <c r="AL12" s="13">
        <v>5.0740990975057985</v>
      </c>
      <c r="AM12" s="13">
        <v>3.5063133079531972</v>
      </c>
      <c r="AN12" s="13">
        <v>2.9764252179323285</v>
      </c>
      <c r="AO12" s="13">
        <v>8.5853963386480903</v>
      </c>
      <c r="AP12" s="13">
        <v>5.8223204955308887</v>
      </c>
      <c r="AQ12" s="13">
        <v>6.2305168862952174</v>
      </c>
      <c r="AR12" s="13">
        <v>5.533458088100403</v>
      </c>
      <c r="AS12" s="13">
        <v>4.5148495658998868</v>
      </c>
      <c r="AT12" s="13">
        <v>2.1756641959030456</v>
      </c>
      <c r="AU12" s="13">
        <v>7.2537765203309101</v>
      </c>
      <c r="AV12" s="13">
        <v>3.9080165058069799E-2</v>
      </c>
      <c r="AW12" s="13">
        <v>8.3948148144953397E-2</v>
      </c>
      <c r="AX12" s="13">
        <v>8.8386833580817906E-2</v>
      </c>
      <c r="AY12" s="13">
        <v>5.5580868601607401E-2</v>
      </c>
      <c r="AZ12" s="13">
        <v>0.100246854139087</v>
      </c>
      <c r="BA12" s="13">
        <v>6.4777444727874306E-2</v>
      </c>
      <c r="BB12" s="13">
        <v>1.66211104117635</v>
      </c>
      <c r="BC12" s="13">
        <v>1.5839038609451801</v>
      </c>
      <c r="BD12" s="13">
        <v>1.5272287786679699</v>
      </c>
      <c r="BE12" s="13">
        <v>1.57457044537835</v>
      </c>
      <c r="BF12" s="13">
        <v>1.6042408416054701</v>
      </c>
      <c r="BG12" s="13">
        <v>1.66969605683486</v>
      </c>
      <c r="BH12" s="6">
        <v>94.234385670010994</v>
      </c>
      <c r="BI12" s="7">
        <v>93.994036063802099</v>
      </c>
      <c r="BJ12" s="7">
        <v>91.274022630665101</v>
      </c>
      <c r="BK12" s="6">
        <v>50.250420168067201</v>
      </c>
      <c r="BL12" s="7">
        <v>41.397972675187297</v>
      </c>
      <c r="BM12" s="7">
        <v>43.5171265461465</v>
      </c>
      <c r="BN12" s="6">
        <v>2759</v>
      </c>
      <c r="BO12" s="7">
        <v>2827</v>
      </c>
      <c r="BP12" s="7">
        <v>2831</v>
      </c>
      <c r="BQ12" s="6">
        <v>97.369129601822607</v>
      </c>
      <c r="BR12" s="7">
        <v>97.354659194063998</v>
      </c>
      <c r="BS12" s="7">
        <v>95.978707912706398</v>
      </c>
      <c r="BT12" s="6">
        <v>90.378277190851307</v>
      </c>
      <c r="BU12" s="7">
        <v>92.577311288001496</v>
      </c>
      <c r="BV12" s="7">
        <v>91.529659218092704</v>
      </c>
      <c r="BW12" s="6">
        <v>31.201787555861099</v>
      </c>
      <c r="BX12" s="7">
        <v>37.426769731489003</v>
      </c>
      <c r="BY12" s="7">
        <v>37.1728056426332</v>
      </c>
      <c r="BZ12" s="6">
        <v>2834</v>
      </c>
      <c r="CA12" s="7">
        <v>2819</v>
      </c>
      <c r="CB12" s="7">
        <v>2879</v>
      </c>
      <c r="CC12" s="6">
        <v>95.3950307570707</v>
      </c>
      <c r="CD12" s="7">
        <v>95.870749446820298</v>
      </c>
      <c r="CE12" s="7">
        <v>96.090270640630393</v>
      </c>
      <c r="CF12" s="13">
        <f t="shared" si="1"/>
        <v>1.120183453486254</v>
      </c>
      <c r="CG12" s="13">
        <f t="shared" si="0"/>
        <v>1.6000297303713185</v>
      </c>
      <c r="CH12" s="22">
        <v>1</v>
      </c>
      <c r="CI12" s="16">
        <v>9.2164383561643834</v>
      </c>
      <c r="CJ12" s="22">
        <v>33</v>
      </c>
      <c r="CK12" s="23">
        <v>136</v>
      </c>
    </row>
    <row r="13" spans="1:99" x14ac:dyDescent="0.3">
      <c r="A13" s="12" t="s">
        <v>61</v>
      </c>
      <c r="B13" s="1" t="s">
        <v>137</v>
      </c>
      <c r="C13" s="13">
        <v>23.139363963503655</v>
      </c>
      <c r="D13" s="13">
        <v>27.050842471274194</v>
      </c>
      <c r="E13" s="13">
        <v>30.859386063676126</v>
      </c>
      <c r="F13" s="13">
        <v>22.379693214620772</v>
      </c>
      <c r="G13" s="13">
        <v>13.582364100783867</v>
      </c>
      <c r="H13" s="13">
        <v>22.466615647098223</v>
      </c>
      <c r="I13" s="13">
        <v>17.410153505957318</v>
      </c>
      <c r="J13" s="13">
        <v>18.242433601351571</v>
      </c>
      <c r="K13" s="13">
        <v>21.786543588442687</v>
      </c>
      <c r="L13" s="13">
        <v>294.46113955325751</v>
      </c>
      <c r="M13" s="13">
        <v>185.92995881195705</v>
      </c>
      <c r="N13" s="13">
        <v>407.94370570363179</v>
      </c>
      <c r="O13" s="13">
        <v>4.6060605495553313</v>
      </c>
      <c r="P13" s="13">
        <v>-4.6621272601587629</v>
      </c>
      <c r="Q13" s="13">
        <v>-10.094906910254556</v>
      </c>
      <c r="R13" s="14">
        <v>0.18465394121240994</v>
      </c>
      <c r="S13" s="14">
        <v>0.27431587970297561</v>
      </c>
      <c r="T13" s="14">
        <v>0.38342211290538192</v>
      </c>
      <c r="U13" s="14">
        <v>0.65288983571382031</v>
      </c>
      <c r="V13" s="14">
        <v>0.60321020289356342</v>
      </c>
      <c r="W13" s="14">
        <v>0.47663054329344512</v>
      </c>
      <c r="X13" s="13">
        <v>521.8693513410708</v>
      </c>
      <c r="Y13" s="13">
        <v>546.8169472005136</v>
      </c>
      <c r="Z13" s="13">
        <v>653.0516440635696</v>
      </c>
      <c r="AA13" s="13">
        <v>0.73535212424927043</v>
      </c>
      <c r="AB13" s="13">
        <v>1.2837384423971787</v>
      </c>
      <c r="AC13" s="13">
        <v>0.92204765976052316</v>
      </c>
      <c r="AD13" s="13">
        <v>4.8537911095561501</v>
      </c>
      <c r="AE13" s="13">
        <v>4.4614665654867762</v>
      </c>
      <c r="AF13" s="13">
        <v>5.1167678837945516</v>
      </c>
      <c r="AG13" s="13">
        <v>3.2285959678172462</v>
      </c>
      <c r="AH13" s="13">
        <v>2.2297490736580126</v>
      </c>
      <c r="AI13" s="13">
        <v>4.2433514179909491</v>
      </c>
      <c r="AJ13" s="13">
        <v>4.224667992392539</v>
      </c>
      <c r="AK13" s="13">
        <v>3.4100855991855323</v>
      </c>
      <c r="AL13" s="13">
        <v>4.0158021419879253</v>
      </c>
      <c r="AM13" s="13">
        <v>1.9742842294676195</v>
      </c>
      <c r="AN13" s="13">
        <v>1.7059436510489052</v>
      </c>
      <c r="AO13" s="13">
        <v>2.5153916140057651</v>
      </c>
      <c r="AP13" s="13">
        <v>1.5159189093723544</v>
      </c>
      <c r="AQ13" s="13">
        <v>1.9221946945175516</v>
      </c>
      <c r="AR13" s="13">
        <v>2.464252607232035</v>
      </c>
      <c r="AS13" s="13">
        <v>2.2489111275268434</v>
      </c>
      <c r="AT13" s="13">
        <v>1.4163772389653684</v>
      </c>
      <c r="AU13" s="13">
        <v>3.0502594887052537</v>
      </c>
      <c r="AV13" s="13">
        <v>7.1166329646171603E-2</v>
      </c>
      <c r="AW13" s="13">
        <v>0.113681495086736</v>
      </c>
      <c r="AX13" s="13">
        <v>9.7089942268655305E-2</v>
      </c>
      <c r="AY13" s="13">
        <v>0.15262054728661301</v>
      </c>
      <c r="AZ13" s="13">
        <v>0.196150230658824</v>
      </c>
      <c r="BA13" s="13">
        <v>0.13856864799792801</v>
      </c>
      <c r="BB13" s="13">
        <v>1.6430193522861201</v>
      </c>
      <c r="BC13" s="13">
        <v>1.5552049869606599</v>
      </c>
      <c r="BD13" s="13">
        <v>1.56558250202924</v>
      </c>
      <c r="BE13" s="13">
        <v>1.2813557103262401</v>
      </c>
      <c r="BF13" s="13">
        <v>1.3089285075675301</v>
      </c>
      <c r="BG13" s="13">
        <v>1.49464772726344</v>
      </c>
      <c r="BH13" s="6">
        <v>93.290008981877804</v>
      </c>
      <c r="BI13" s="7">
        <v>85.699580171161003</v>
      </c>
      <c r="BJ13" s="7">
        <v>89.0201426567114</v>
      </c>
      <c r="BK13" s="6">
        <v>55.3164160401003</v>
      </c>
      <c r="BL13" s="7">
        <v>31.745046728972</v>
      </c>
      <c r="BM13" s="7">
        <v>39.414422241529103</v>
      </c>
      <c r="BN13" s="6">
        <v>2751</v>
      </c>
      <c r="BO13" s="7">
        <v>2815</v>
      </c>
      <c r="BP13" s="7">
        <v>2855</v>
      </c>
      <c r="BQ13" s="6">
        <v>97.004509899907305</v>
      </c>
      <c r="BR13" s="7">
        <v>92.604680783314805</v>
      </c>
      <c r="BS13" s="7">
        <v>94.080850693268602</v>
      </c>
      <c r="BT13" s="6">
        <v>86.181502058435598</v>
      </c>
      <c r="BU13" s="7">
        <v>66.210117342333504</v>
      </c>
      <c r="BV13" s="7">
        <v>82.635140498491793</v>
      </c>
      <c r="BW13" s="6">
        <v>34.721014492753604</v>
      </c>
      <c r="BX13" s="7">
        <v>22.1549573210768</v>
      </c>
      <c r="BY13" s="7">
        <v>27.2790697674419</v>
      </c>
      <c r="BZ13" s="6">
        <v>2829</v>
      </c>
      <c r="CA13" s="7">
        <v>2855</v>
      </c>
      <c r="CB13" s="7">
        <v>2839</v>
      </c>
      <c r="CC13" s="6">
        <v>91.784493206294201</v>
      </c>
      <c r="CD13" s="7">
        <v>80.623984054493405</v>
      </c>
      <c r="CE13" s="7">
        <v>90.304195530507599</v>
      </c>
      <c r="CF13" s="13">
        <f t="shared" si="1"/>
        <v>1.047804293920181</v>
      </c>
      <c r="CG13" s="13">
        <f t="shared" si="0"/>
        <v>1.2513699882650589</v>
      </c>
      <c r="CH13" s="22">
        <v>1</v>
      </c>
      <c r="CI13" s="16">
        <v>9.0849315068493155</v>
      </c>
      <c r="CJ13" s="22">
        <v>30</v>
      </c>
      <c r="CK13" s="23">
        <v>136</v>
      </c>
    </row>
    <row r="14" spans="1:99" x14ac:dyDescent="0.3">
      <c r="A14" s="12" t="s">
        <v>62</v>
      </c>
      <c r="B14" s="1" t="s">
        <v>137</v>
      </c>
      <c r="C14" s="13">
        <v>23.792321253447739</v>
      </c>
      <c r="D14" s="13">
        <v>19.817988170942272</v>
      </c>
      <c r="E14" s="13">
        <v>26.967102244599317</v>
      </c>
      <c r="F14" s="13">
        <v>14.263038925957996</v>
      </c>
      <c r="G14" s="13">
        <v>11.686916407639915</v>
      </c>
      <c r="H14" s="13">
        <v>30.042775857314265</v>
      </c>
      <c r="I14" s="13">
        <v>10.471342689843254</v>
      </c>
      <c r="J14" s="13">
        <v>12.566259379113786</v>
      </c>
      <c r="K14" s="13">
        <v>16.91358598432365</v>
      </c>
      <c r="L14" s="13">
        <v>214.35744434433519</v>
      </c>
      <c r="M14" s="13">
        <v>197.43148759118012</v>
      </c>
      <c r="N14" s="13">
        <v>646.88094107544691</v>
      </c>
      <c r="O14" s="13">
        <v>6.5558754196329252</v>
      </c>
      <c r="P14" s="13">
        <v>-7.0001150619017016</v>
      </c>
      <c r="Q14" s="13">
        <v>-59.335762485622162</v>
      </c>
      <c r="R14" s="14">
        <v>0.11270416760568287</v>
      </c>
      <c r="S14" s="14">
        <v>0.23943210558571093</v>
      </c>
      <c r="T14" s="14">
        <v>0.12499280689151851</v>
      </c>
      <c r="U14" s="14">
        <v>0.37856323323551061</v>
      </c>
      <c r="V14" s="14">
        <v>0.27773274735120113</v>
      </c>
      <c r="W14" s="14">
        <v>0.12420139634867676</v>
      </c>
      <c r="X14" s="13">
        <v>313.87849712805149</v>
      </c>
      <c r="Y14" s="13">
        <v>376.67362488893576</v>
      </c>
      <c r="Z14" s="13">
        <v>506.9847398801013</v>
      </c>
      <c r="AA14" s="13">
        <v>1.4931367202030934</v>
      </c>
      <c r="AB14" s="13">
        <v>2.1936740886640194</v>
      </c>
      <c r="AC14" s="13">
        <v>1.5887931399560389</v>
      </c>
      <c r="AD14" s="13">
        <v>5.1648140918368775</v>
      </c>
      <c r="AE14" s="13">
        <v>4.233814886488962</v>
      </c>
      <c r="AF14" s="13">
        <v>5.4900635181141508</v>
      </c>
      <c r="AG14" s="13">
        <v>2.2567606752259737</v>
      </c>
      <c r="AH14" s="13">
        <v>2.4997302131480885</v>
      </c>
      <c r="AI14" s="13">
        <v>6.8883983689434967</v>
      </c>
      <c r="AJ14" s="13">
        <v>4.8438606372589081</v>
      </c>
      <c r="AK14" s="13">
        <v>5.4548289017470308</v>
      </c>
      <c r="AL14" s="13">
        <v>4.5537881034947683</v>
      </c>
      <c r="AM14" s="13">
        <v>1.7340396155778284</v>
      </c>
      <c r="AN14" s="13">
        <v>2.1640426427302413</v>
      </c>
      <c r="AO14" s="13">
        <v>6.0353443683211241</v>
      </c>
      <c r="AP14" s="13">
        <v>1.1143335140989146</v>
      </c>
      <c r="AQ14" s="13">
        <v>4.4299154672993941</v>
      </c>
      <c r="AR14" s="13">
        <v>3.1530091934343174</v>
      </c>
      <c r="AS14" s="13">
        <v>1.2035914138057475</v>
      </c>
      <c r="AT14" s="13">
        <v>0.84577800495834132</v>
      </c>
      <c r="AU14" s="13">
        <v>1.8884559972500015</v>
      </c>
      <c r="AV14" s="13">
        <v>5.71835730931863E-2</v>
      </c>
      <c r="AW14" s="13">
        <v>0.100343880275409</v>
      </c>
      <c r="AX14" s="13">
        <v>9.1216337840207107E-2</v>
      </c>
      <c r="AY14" s="13">
        <v>8.4788392933775894E-2</v>
      </c>
      <c r="AZ14" s="13">
        <v>7.0098133141305002E-2</v>
      </c>
      <c r="BA14" s="13">
        <v>3.8199719141548003E-2</v>
      </c>
      <c r="BB14" s="13">
        <v>1.60882392907831</v>
      </c>
      <c r="BC14" s="13">
        <v>1.5684245213436001</v>
      </c>
      <c r="BD14" s="13">
        <v>1.50864470695195</v>
      </c>
      <c r="BE14" s="13">
        <v>1.5808474080981201</v>
      </c>
      <c r="BF14" s="13">
        <v>1.54942107114087</v>
      </c>
      <c r="BG14" s="13">
        <v>1.7557272750164501</v>
      </c>
      <c r="BH14" s="6">
        <v>90.170518975402501</v>
      </c>
      <c r="BI14" s="7">
        <v>88.937727500171704</v>
      </c>
      <c r="BJ14" s="7">
        <v>89.551128132875604</v>
      </c>
      <c r="BK14" s="6">
        <v>38.692132787630698</v>
      </c>
      <c r="BL14" s="7">
        <v>38.540816326530603</v>
      </c>
      <c r="BM14" s="7">
        <v>34.007159005275099</v>
      </c>
      <c r="BN14" s="6">
        <v>2747</v>
      </c>
      <c r="BO14" s="7">
        <v>2855</v>
      </c>
      <c r="BP14" s="7">
        <v>2839</v>
      </c>
      <c r="BQ14" s="6">
        <v>95.019481265603304</v>
      </c>
      <c r="BR14" s="7">
        <v>93.981674100879502</v>
      </c>
      <c r="BS14" s="7">
        <v>95.319257186466501</v>
      </c>
      <c r="BT14" s="6">
        <v>89.625846838127799</v>
      </c>
      <c r="BU14" s="7">
        <v>86.7744594011224</v>
      </c>
      <c r="BV14" s="7">
        <v>96.329225705455002</v>
      </c>
      <c r="BW14" s="6">
        <v>43.158155676747697</v>
      </c>
      <c r="BX14" s="7">
        <v>31.666308628714599</v>
      </c>
      <c r="BY14" s="7">
        <v>62.333766233766198</v>
      </c>
      <c r="BZ14" s="6">
        <v>2787</v>
      </c>
      <c r="CA14" s="7">
        <v>2855</v>
      </c>
      <c r="CB14" s="7">
        <v>2823</v>
      </c>
      <c r="CC14" s="6">
        <v>93.862159967519304</v>
      </c>
      <c r="CD14" s="7">
        <v>93.274440746187807</v>
      </c>
      <c r="CE14" s="7">
        <v>98.596928678856997</v>
      </c>
      <c r="CF14" s="13">
        <f t="shared" si="1"/>
        <v>1.2000618976306174</v>
      </c>
      <c r="CG14" s="13">
        <f t="shared" si="0"/>
        <v>1.6152260971010997</v>
      </c>
      <c r="CH14" s="19">
        <v>2</v>
      </c>
      <c r="CI14" s="16">
        <v>10.767123287671232</v>
      </c>
      <c r="CJ14" s="19">
        <v>30.6</v>
      </c>
      <c r="CK14" s="20">
        <v>138</v>
      </c>
    </row>
    <row r="15" spans="1:99" x14ac:dyDescent="0.3">
      <c r="A15" s="12" t="s">
        <v>63</v>
      </c>
      <c r="B15" s="1" t="s">
        <v>137</v>
      </c>
      <c r="C15" s="13">
        <v>34.208154084894034</v>
      </c>
      <c r="D15" s="13">
        <v>34.919404863331494</v>
      </c>
      <c r="E15" s="13">
        <v>31.659154526975783</v>
      </c>
      <c r="F15" s="13">
        <v>22.235938356788424</v>
      </c>
      <c r="G15" s="13">
        <v>28.077136280049405</v>
      </c>
      <c r="H15" s="13">
        <v>32.451891371387276</v>
      </c>
      <c r="I15" s="13">
        <v>19.770577947560241</v>
      </c>
      <c r="J15" s="13">
        <v>28.044807319473726</v>
      </c>
      <c r="K15" s="13">
        <v>28.293382654831913</v>
      </c>
      <c r="L15" s="13">
        <v>493.33555990621721</v>
      </c>
      <c r="M15" s="13">
        <v>650.73371039564836</v>
      </c>
      <c r="N15" s="13">
        <v>762.33587385751468</v>
      </c>
      <c r="O15" s="13">
        <v>-24.954579146167095</v>
      </c>
      <c r="P15" s="13">
        <v>12.646573520609229</v>
      </c>
      <c r="Q15" s="13">
        <v>18.812879003508652</v>
      </c>
      <c r="R15" s="14">
        <v>6.8272837901884098E-2</v>
      </c>
      <c r="S15" s="14">
        <v>0.36882440911750414</v>
      </c>
      <c r="T15" s="14">
        <v>0.45688393239757713</v>
      </c>
      <c r="U15" s="14">
        <v>0.30770948593724318</v>
      </c>
      <c r="V15" s="14">
        <v>0.48531787003811472</v>
      </c>
      <c r="W15" s="14">
        <v>0.42031001102043136</v>
      </c>
      <c r="X15" s="13">
        <v>592.62307397811833</v>
      </c>
      <c r="Y15" s="13">
        <v>840.64309940122519</v>
      </c>
      <c r="Z15" s="13">
        <v>848.09414507858651</v>
      </c>
      <c r="AA15" s="13">
        <v>1.0862091046309434</v>
      </c>
      <c r="AB15" s="13">
        <v>1.1599497830331305</v>
      </c>
      <c r="AC15" s="13">
        <v>0.97489920356665383</v>
      </c>
      <c r="AD15" s="13">
        <v>7.6455331733052994</v>
      </c>
      <c r="AE15" s="13">
        <v>7.3707704950262825</v>
      </c>
      <c r="AF15" s="13">
        <v>6.8529231013348344</v>
      </c>
      <c r="AG15" s="13">
        <v>4.5225373065714916</v>
      </c>
      <c r="AH15" s="13">
        <v>4.794090413923378</v>
      </c>
      <c r="AI15" s="13">
        <v>5.942728220288811</v>
      </c>
      <c r="AJ15" s="13">
        <v>8.7479645291034167</v>
      </c>
      <c r="AK15" s="13">
        <v>7.1492362035471819</v>
      </c>
      <c r="AL15" s="13">
        <v>4.5562867573861787</v>
      </c>
      <c r="AM15" s="13">
        <v>3.7017901443478292</v>
      </c>
      <c r="AN15" s="13">
        <v>3.1520229533116848</v>
      </c>
      <c r="AO15" s="13">
        <v>3.4698759187084027</v>
      </c>
      <c r="AP15" s="13">
        <v>2.3231752591374808</v>
      </c>
      <c r="AQ15" s="13">
        <v>2.8782928777226147</v>
      </c>
      <c r="AR15" s="13">
        <v>3.9522223314919995</v>
      </c>
      <c r="AS15" s="13">
        <v>1.9073423385445605</v>
      </c>
      <c r="AT15" s="13">
        <v>2.9649265701215959</v>
      </c>
      <c r="AU15" s="13">
        <v>3.6874619742123302</v>
      </c>
      <c r="AV15" s="13">
        <v>6.2747472614737204E-2</v>
      </c>
      <c r="AW15" s="13">
        <v>0.107337181236465</v>
      </c>
      <c r="AX15" s="13">
        <v>0.10217426908605701</v>
      </c>
      <c r="AY15" s="13">
        <v>0.10756875377269599</v>
      </c>
      <c r="AZ15" s="13">
        <v>0.12610542901763599</v>
      </c>
      <c r="BA15" s="13">
        <v>0.12716585269993699</v>
      </c>
      <c r="BB15" s="13">
        <v>1.43950168927269</v>
      </c>
      <c r="BC15" s="13">
        <v>1.4428716225215199</v>
      </c>
      <c r="BD15" s="13">
        <v>1.5400305326135599</v>
      </c>
      <c r="BE15" s="13">
        <v>1.4405876322462501</v>
      </c>
      <c r="BF15" s="13">
        <v>1.3997913081798601</v>
      </c>
      <c r="BG15" s="13">
        <v>1.5190970938336299</v>
      </c>
      <c r="BH15" s="6">
        <v>82.674230646473205</v>
      </c>
      <c r="BI15" s="7">
        <v>79.857121595475505</v>
      </c>
      <c r="BJ15" s="7">
        <v>90.713497240341198</v>
      </c>
      <c r="BK15" s="6">
        <v>28.915736406193702</v>
      </c>
      <c r="BL15" s="7">
        <v>25.5504761904762</v>
      </c>
      <c r="BM15" s="7">
        <v>36.043062200956903</v>
      </c>
      <c r="BN15" s="6">
        <v>2787</v>
      </c>
      <c r="BO15" s="7">
        <v>2839</v>
      </c>
      <c r="BP15" s="7">
        <v>2823</v>
      </c>
      <c r="BQ15" s="6">
        <v>92.897960840836006</v>
      </c>
      <c r="BR15" s="7">
        <v>90.4862775793748</v>
      </c>
      <c r="BS15" s="7">
        <v>95.779323583542805</v>
      </c>
      <c r="BT15" s="6">
        <v>79.819045111975598</v>
      </c>
      <c r="BU15" s="7">
        <v>83.958474822935898</v>
      </c>
      <c r="BV15" s="7">
        <v>88.049805631746196</v>
      </c>
      <c r="BW15" s="6">
        <v>28.705469845722298</v>
      </c>
      <c r="BX15" s="7">
        <v>31.547940211447301</v>
      </c>
      <c r="BY15" s="7">
        <v>30.965301873698799</v>
      </c>
      <c r="BZ15" s="6">
        <v>2864</v>
      </c>
      <c r="CA15" s="7">
        <v>2871</v>
      </c>
      <c r="CB15" s="7">
        <v>2847</v>
      </c>
      <c r="CC15" s="6">
        <v>89.768220039519406</v>
      </c>
      <c r="CD15" s="7">
        <v>90.764645092147802</v>
      </c>
      <c r="CE15" s="7">
        <v>94.309093385744006</v>
      </c>
      <c r="CF15" s="13">
        <f t="shared" si="1"/>
        <v>1.4185122657445912</v>
      </c>
      <c r="CG15" s="13">
        <f t="shared" si="0"/>
        <v>1.4310852586038543</v>
      </c>
      <c r="CH15" s="19">
        <v>2</v>
      </c>
      <c r="CI15" s="16">
        <v>10.967123287671233</v>
      </c>
      <c r="CJ15" s="19">
        <v>25.3</v>
      </c>
      <c r="CK15" s="20">
        <v>131</v>
      </c>
    </row>
    <row r="16" spans="1:99" x14ac:dyDescent="0.3">
      <c r="A16" s="12" t="s">
        <v>64</v>
      </c>
      <c r="B16" s="1" t="s">
        <v>137</v>
      </c>
      <c r="C16" s="13">
        <v>40.901280314332269</v>
      </c>
      <c r="D16" s="13">
        <v>30.902136304556038</v>
      </c>
      <c r="E16" s="13">
        <v>38.585036699174367</v>
      </c>
      <c r="F16" s="13">
        <v>41.069146722202404</v>
      </c>
      <c r="G16" s="13">
        <v>43.494735052069757</v>
      </c>
      <c r="H16" s="13">
        <v>35.570540516199969</v>
      </c>
      <c r="I16" s="13">
        <v>20.111241938374086</v>
      </c>
      <c r="J16" s="13">
        <v>24.937930713824841</v>
      </c>
      <c r="K16" s="13">
        <v>20.455977752444014</v>
      </c>
      <c r="L16" s="13">
        <v>1274.6190968613143</v>
      </c>
      <c r="M16" s="13">
        <v>641.59708124683209</v>
      </c>
      <c r="N16" s="13">
        <v>1078.6543090034961</v>
      </c>
      <c r="O16" s="13">
        <v>-79.475445653392953</v>
      </c>
      <c r="P16" s="13">
        <v>-56.133795853068847</v>
      </c>
      <c r="Q16" s="13">
        <v>-50.803205786205162</v>
      </c>
      <c r="R16" s="14">
        <v>0.13920415081551255</v>
      </c>
      <c r="S16" s="14">
        <v>0.31817758384187822</v>
      </c>
      <c r="T16" s="14">
        <v>0.13658620094138413</v>
      </c>
      <c r="U16" s="14">
        <v>9.7034324487486417E-2</v>
      </c>
      <c r="V16" s="14">
        <v>0.1937840421100322</v>
      </c>
      <c r="W16" s="14">
        <v>0.1656671813186241</v>
      </c>
      <c r="X16" s="13">
        <v>602.83447710276334</v>
      </c>
      <c r="Y16" s="13">
        <v>747.5144731468996</v>
      </c>
      <c r="Z16" s="13">
        <v>613.16793312950938</v>
      </c>
      <c r="AA16" s="13">
        <v>1.4054690033338377</v>
      </c>
      <c r="AB16" s="13">
        <v>1.3254589888045365</v>
      </c>
      <c r="AC16" s="13">
        <v>0.93883835945477845</v>
      </c>
      <c r="AD16" s="13">
        <v>7.1356221229542767</v>
      </c>
      <c r="AE16" s="13">
        <v>5.9997052660642964</v>
      </c>
      <c r="AF16" s="13">
        <v>7.7174227208954269</v>
      </c>
      <c r="AG16" s="13">
        <v>9.5461903813601499</v>
      </c>
      <c r="AH16" s="13">
        <v>7.9650815828831529</v>
      </c>
      <c r="AI16" s="13">
        <v>8.5422081307694828</v>
      </c>
      <c r="AJ16" s="13">
        <v>6.5355200116897203</v>
      </c>
      <c r="AK16" s="13">
        <v>4.2391511673802134</v>
      </c>
      <c r="AL16" s="13">
        <v>5.796264364338426</v>
      </c>
      <c r="AM16" s="13">
        <v>9.2941804038090705</v>
      </c>
      <c r="AN16" s="13">
        <v>8.3635957555799223</v>
      </c>
      <c r="AO16" s="13">
        <v>7.7334260383448719</v>
      </c>
      <c r="AP16" s="13">
        <v>2.5531990521588739</v>
      </c>
      <c r="AQ16" s="13">
        <v>3.4830273004135277</v>
      </c>
      <c r="AR16" s="13">
        <v>5.4165231564126488</v>
      </c>
      <c r="AS16" s="13">
        <v>2.837906116738635</v>
      </c>
      <c r="AT16" s="13">
        <v>3.5507216970446289</v>
      </c>
      <c r="AU16" s="13">
        <v>4.0263416474987208</v>
      </c>
      <c r="AV16" s="13">
        <v>7.6348737280971302E-2</v>
      </c>
      <c r="AW16" s="13">
        <v>0.124687136065371</v>
      </c>
      <c r="AX16" s="13">
        <v>5.6845922740991997E-2</v>
      </c>
      <c r="AY16" s="13">
        <v>3.7236597749256403E-2</v>
      </c>
      <c r="AZ16" s="13">
        <v>5.7245628699055598E-2</v>
      </c>
      <c r="BA16" s="13">
        <v>5.9151432782857997E-2</v>
      </c>
      <c r="BB16" s="13">
        <v>1.4657832774487001</v>
      </c>
      <c r="BC16" s="13">
        <v>1.39287968935994</v>
      </c>
      <c r="BD16" s="13">
        <v>1.53125809866524</v>
      </c>
      <c r="BE16" s="13">
        <v>1.52460635405149</v>
      </c>
      <c r="BF16" s="13">
        <v>1.5201327532784701</v>
      </c>
      <c r="BG16" s="13">
        <v>1.6082802511747101</v>
      </c>
      <c r="BH16" s="6">
        <v>71.1527907491744</v>
      </c>
      <c r="BI16" s="7">
        <v>79.364726143367207</v>
      </c>
      <c r="BJ16" s="7">
        <v>90.987460815047001</v>
      </c>
      <c r="BK16" s="6">
        <v>24.940938238272</v>
      </c>
      <c r="BL16" s="7">
        <v>25.7790697674419</v>
      </c>
      <c r="BM16" s="7">
        <v>34.271501457726004</v>
      </c>
      <c r="BN16" s="6">
        <v>2882</v>
      </c>
      <c r="BO16" s="7">
        <v>2875</v>
      </c>
      <c r="BP16" s="7">
        <v>2875</v>
      </c>
      <c r="BQ16" s="6">
        <v>86.822725006528799</v>
      </c>
      <c r="BR16" s="7">
        <v>91.120759578224195</v>
      </c>
      <c r="BS16" s="7">
        <v>96.269347481726101</v>
      </c>
      <c r="BT16" s="6">
        <v>91.023448827558596</v>
      </c>
      <c r="BU16" s="7">
        <v>89.595807647307495</v>
      </c>
      <c r="BV16" s="7">
        <v>95.213234240321</v>
      </c>
      <c r="BW16" s="6">
        <v>33.1613843351548</v>
      </c>
      <c r="BX16" s="7">
        <v>28.9292063492064</v>
      </c>
      <c r="BY16" s="7">
        <v>39.528261793455201</v>
      </c>
      <c r="BZ16" s="6">
        <v>2828</v>
      </c>
      <c r="CA16" s="7">
        <v>2852</v>
      </c>
      <c r="CB16" s="7">
        <v>2795</v>
      </c>
      <c r="CC16" s="6">
        <v>96.806827089465102</v>
      </c>
      <c r="CD16" s="7">
        <v>95.618385521958999</v>
      </c>
      <c r="CE16" s="7">
        <v>98.174276371563494</v>
      </c>
      <c r="CF16" s="13">
        <f t="shared" si="1"/>
        <v>1.2399995380812852</v>
      </c>
      <c r="CG16" s="13">
        <f t="shared" si="0"/>
        <v>1.0171414483066876</v>
      </c>
      <c r="CH16" s="21">
        <v>2</v>
      </c>
      <c r="CI16" s="16">
        <v>10.789041095890411</v>
      </c>
      <c r="CJ16" s="19">
        <v>40</v>
      </c>
      <c r="CK16" s="20">
        <v>155</v>
      </c>
    </row>
    <row r="17" spans="1:99" x14ac:dyDescent="0.3">
      <c r="A17" s="12" t="s">
        <v>65</v>
      </c>
      <c r="B17" s="1" t="s">
        <v>137</v>
      </c>
      <c r="C17" s="13">
        <v>10.169025741191788</v>
      </c>
      <c r="D17" s="13">
        <v>18.838029633988242</v>
      </c>
      <c r="E17" s="13">
        <v>20.810061251058755</v>
      </c>
      <c r="F17" s="13">
        <v>10.719678044693133</v>
      </c>
      <c r="G17" s="13">
        <v>12.54830265015725</v>
      </c>
      <c r="H17" s="13">
        <v>30.653793959896007</v>
      </c>
      <c r="I17" s="13">
        <v>8.8803352204817454</v>
      </c>
      <c r="J17" s="13">
        <v>11.140504108352276</v>
      </c>
      <c r="K17" s="13">
        <v>17.101369211761554</v>
      </c>
      <c r="L17" s="13">
        <v>71.988731983543545</v>
      </c>
      <c r="M17" s="13">
        <v>117.44544507920833</v>
      </c>
      <c r="N17" s="13">
        <v>445.47241359545546</v>
      </c>
      <c r="O17" s="13">
        <v>-75.695806111381302</v>
      </c>
      <c r="P17" s="13">
        <v>13.199503484415796</v>
      </c>
      <c r="Q17" s="13">
        <v>-78.428337102243191</v>
      </c>
      <c r="R17" s="14">
        <v>0.28781057620165651</v>
      </c>
      <c r="S17" s="14">
        <v>0.33346238383731958</v>
      </c>
      <c r="T17" s="14">
        <v>0.24372137566578994</v>
      </c>
      <c r="U17" s="14">
        <v>0.32188868695630213</v>
      </c>
      <c r="V17" s="14">
        <v>0.28720712638378737</v>
      </c>
      <c r="W17" s="14">
        <v>0.26931376345963198</v>
      </c>
      <c r="X17" s="13">
        <v>266.18804823394021</v>
      </c>
      <c r="Y17" s="13">
        <v>333.93661064785942</v>
      </c>
      <c r="Z17" s="13">
        <v>512.61354212255264</v>
      </c>
      <c r="AA17" s="13">
        <v>1.9890106925644864</v>
      </c>
      <c r="AB17" s="13">
        <v>2.0180119020927259</v>
      </c>
      <c r="AC17" s="13">
        <v>1.449801911081845</v>
      </c>
      <c r="AD17" s="13">
        <v>1.6194095997254114</v>
      </c>
      <c r="AE17" s="13">
        <v>3.0364655142568768</v>
      </c>
      <c r="AF17" s="13">
        <v>3.9200999976896274</v>
      </c>
      <c r="AG17" s="13">
        <v>2.4228416940896174</v>
      </c>
      <c r="AH17" s="13">
        <v>2.091507654069737</v>
      </c>
      <c r="AI17" s="13">
        <v>6.1576852941628006</v>
      </c>
      <c r="AJ17" s="13">
        <v>2.4142279703307277</v>
      </c>
      <c r="AK17" s="13">
        <v>2.3373920593516821</v>
      </c>
      <c r="AL17" s="13">
        <v>3.4382760229529605</v>
      </c>
      <c r="AM17" s="13">
        <v>2.957341311166573</v>
      </c>
      <c r="AN17" s="13">
        <v>1.8260083348095428</v>
      </c>
      <c r="AO17" s="13">
        <v>4.1067344234866505</v>
      </c>
      <c r="AP17" s="13">
        <v>2.9164603830341207</v>
      </c>
      <c r="AQ17" s="13">
        <v>2.2126883366356895</v>
      </c>
      <c r="AR17" s="13">
        <v>1.8587455779266391</v>
      </c>
      <c r="AS17" s="13">
        <v>2.1268813080977544</v>
      </c>
      <c r="AT17" s="13">
        <v>1.1300769210575692</v>
      </c>
      <c r="AU17" s="13">
        <v>2.5010071454524154</v>
      </c>
      <c r="AV17" s="13">
        <v>0.19846975873359499</v>
      </c>
      <c r="AW17" s="13">
        <v>0.11990525104623199</v>
      </c>
      <c r="AX17" s="13">
        <v>0.13926500185608001</v>
      </c>
      <c r="AY17" s="13">
        <v>5.6511463517730703E-2</v>
      </c>
      <c r="AZ17" s="13">
        <v>8.1236725000583598E-2</v>
      </c>
      <c r="BA17" s="13">
        <v>4.84454227857474E-2</v>
      </c>
      <c r="BB17" s="13">
        <v>1.4997946910307101</v>
      </c>
      <c r="BC17" s="13">
        <v>1.52350891604573</v>
      </c>
      <c r="BD17" s="13">
        <v>1.4068409200074099</v>
      </c>
      <c r="BE17" s="13">
        <v>1.56996091533473</v>
      </c>
      <c r="BF17" s="13">
        <v>1.59459442049999</v>
      </c>
      <c r="BG17" s="13">
        <v>1.6652483035354699</v>
      </c>
      <c r="BH17" s="6">
        <v>69.437034957180998</v>
      </c>
      <c r="BI17" s="7">
        <v>86.982189809991596</v>
      </c>
      <c r="BJ17" s="7">
        <v>81.852555746823398</v>
      </c>
      <c r="BK17" s="6">
        <v>26.3686214775324</v>
      </c>
      <c r="BL17" s="7">
        <v>41.705518553758303</v>
      </c>
      <c r="BM17" s="7">
        <v>30.143275925247298</v>
      </c>
      <c r="BN17" s="6">
        <v>2824</v>
      </c>
      <c r="BO17" s="7">
        <v>2839</v>
      </c>
      <c r="BP17" s="7">
        <v>2835</v>
      </c>
      <c r="BQ17" s="6">
        <v>81.701101009052294</v>
      </c>
      <c r="BR17" s="7">
        <v>93.093292891737207</v>
      </c>
      <c r="BS17" s="7">
        <v>91.721204509551896</v>
      </c>
      <c r="BT17" s="6">
        <v>89.558664151246305</v>
      </c>
      <c r="BU17" s="7">
        <v>89.458675304544798</v>
      </c>
      <c r="BV17" s="7">
        <v>95.548291536850698</v>
      </c>
      <c r="BW17" s="6">
        <v>47.1458003169572</v>
      </c>
      <c r="BX17" s="7">
        <v>38.068921775898502</v>
      </c>
      <c r="BY17" s="7">
        <v>51.649364991717299</v>
      </c>
      <c r="BZ17" s="6">
        <v>2823</v>
      </c>
      <c r="CA17" s="7">
        <v>2837</v>
      </c>
      <c r="CB17" s="7">
        <v>2798</v>
      </c>
      <c r="CC17" s="6">
        <v>94.533661838043201</v>
      </c>
      <c r="CD17" s="7">
        <v>95.305258619845006</v>
      </c>
      <c r="CE17" s="7">
        <v>98.201310243769797</v>
      </c>
      <c r="CF17" s="13">
        <f t="shared" si="1"/>
        <v>1.2545139154947265</v>
      </c>
      <c r="CG17" s="13">
        <f t="shared" si="0"/>
        <v>1.9257571687517714</v>
      </c>
      <c r="CH17" s="21">
        <v>2</v>
      </c>
      <c r="CI17" s="16">
        <v>10.356164383561644</v>
      </c>
      <c r="CJ17" s="19">
        <v>33</v>
      </c>
      <c r="CK17" s="20">
        <v>147</v>
      </c>
    </row>
    <row r="18" spans="1:99" x14ac:dyDescent="0.3">
      <c r="A18" s="12" t="s">
        <v>66</v>
      </c>
      <c r="B18" s="1" t="s">
        <v>137</v>
      </c>
      <c r="C18" s="13">
        <v>29.956147033185545</v>
      </c>
      <c r="D18" s="13">
        <v>27.677272142019547</v>
      </c>
      <c r="E18" s="13">
        <v>39.511177247520422</v>
      </c>
      <c r="F18" s="13">
        <v>13.64983567189757</v>
      </c>
      <c r="G18" s="13">
        <v>15.421254487072705</v>
      </c>
      <c r="H18" s="13">
        <v>34.508363723472911</v>
      </c>
      <c r="I18" s="13">
        <v>16.500387414418878</v>
      </c>
      <c r="J18" s="13">
        <v>17.243004290801942</v>
      </c>
      <c r="K18" s="13">
        <v>22.412178157624467</v>
      </c>
      <c r="L18" s="13">
        <v>338.30822432561001</v>
      </c>
      <c r="M18" s="13">
        <v>362.61901338730848</v>
      </c>
      <c r="N18" s="13">
        <v>908.12909847991978</v>
      </c>
      <c r="O18" s="13">
        <v>10.04013835347255</v>
      </c>
      <c r="P18" s="13">
        <v>-14.783247767599446</v>
      </c>
      <c r="Q18" s="13">
        <v>27.277421860005845</v>
      </c>
      <c r="R18" s="14">
        <v>0.13531258906434104</v>
      </c>
      <c r="S18" s="14">
        <v>0.22293735592355202</v>
      </c>
      <c r="T18" s="14">
        <v>0.27583529248496225</v>
      </c>
      <c r="U18" s="14">
        <v>0.18369735519903527</v>
      </c>
      <c r="V18" s="14">
        <v>0.1034790240305646</v>
      </c>
      <c r="W18" s="14">
        <v>0.24859026937789458</v>
      </c>
      <c r="X18" s="13">
        <v>494.59911274720588</v>
      </c>
      <c r="Y18" s="13">
        <v>516.85905361678817</v>
      </c>
      <c r="Z18" s="13">
        <v>671.80504027479344</v>
      </c>
      <c r="AA18" s="13">
        <v>1.8782683683044619</v>
      </c>
      <c r="AB18" s="13">
        <v>2.047788826830728</v>
      </c>
      <c r="AC18" s="13">
        <v>1.2027585136090804</v>
      </c>
      <c r="AD18" s="13">
        <v>7.0540395393367952</v>
      </c>
      <c r="AE18" s="13">
        <v>5.9085100635884142</v>
      </c>
      <c r="AF18" s="13">
        <v>7.6422749493656612</v>
      </c>
      <c r="AG18" s="13">
        <v>2.7701286983567006</v>
      </c>
      <c r="AH18" s="13">
        <v>3.441625197635652</v>
      </c>
      <c r="AI18" s="13">
        <v>6.4856569284423582</v>
      </c>
      <c r="AJ18" s="13">
        <v>6.654853764865539</v>
      </c>
      <c r="AK18" s="13">
        <v>5.4309483152656695</v>
      </c>
      <c r="AL18" s="13">
        <v>5.9819292340729913</v>
      </c>
      <c r="AM18" s="13">
        <v>2.1434288347559494</v>
      </c>
      <c r="AN18" s="13">
        <v>3.1167327306985375</v>
      </c>
      <c r="AO18" s="13">
        <v>4.8615929331531111</v>
      </c>
      <c r="AP18" s="13">
        <v>2.2204949392766617</v>
      </c>
      <c r="AQ18" s="13">
        <v>1.8921842918079268</v>
      </c>
      <c r="AR18" s="13">
        <v>2.5442867488569711</v>
      </c>
      <c r="AS18" s="13">
        <v>1.1927085954628285</v>
      </c>
      <c r="AT18" s="13">
        <v>1.0657076158566181</v>
      </c>
      <c r="AU18" s="13">
        <v>2.9127063936696502</v>
      </c>
      <c r="AV18" s="13">
        <v>6.3699056174331803E-2</v>
      </c>
      <c r="AW18" s="13">
        <v>0.102130122804518</v>
      </c>
      <c r="AX18" s="13">
        <v>7.9986241709918401E-2</v>
      </c>
      <c r="AY18" s="13">
        <v>0.10771445863583901</v>
      </c>
      <c r="AZ18" s="13">
        <v>8.1871473320701799E-2</v>
      </c>
      <c r="BA18" s="13">
        <v>7.4545082745889904E-2</v>
      </c>
      <c r="BB18" s="13">
        <v>1.53273817585615</v>
      </c>
      <c r="BC18" s="13">
        <v>1.59924308413142</v>
      </c>
      <c r="BD18" s="13">
        <v>1.5622720695172101</v>
      </c>
      <c r="BE18" s="13">
        <v>1.47718328590308</v>
      </c>
      <c r="BF18" s="13">
        <v>1.51664444952472</v>
      </c>
      <c r="BG18" s="13">
        <v>1.65141758189684</v>
      </c>
      <c r="BH18" s="6">
        <v>91.184237253707096</v>
      </c>
      <c r="BI18" s="7">
        <v>87.983125101411602</v>
      </c>
      <c r="BJ18" s="7">
        <v>92.136212041425296</v>
      </c>
      <c r="BK18" s="6">
        <v>39.707169459962799</v>
      </c>
      <c r="BL18" s="7">
        <v>33.036555645816399</v>
      </c>
      <c r="BM18" s="7">
        <v>36.873140495867801</v>
      </c>
      <c r="BN18" s="6">
        <v>2735</v>
      </c>
      <c r="BO18" s="7">
        <v>2719</v>
      </c>
      <c r="BP18" s="7">
        <v>2783</v>
      </c>
      <c r="BQ18" s="6">
        <v>95.651967757230906</v>
      </c>
      <c r="BR18" s="7">
        <v>94.163957145141495</v>
      </c>
      <c r="BS18" s="7">
        <v>96.853146853146896</v>
      </c>
      <c r="BT18" s="6">
        <v>77.103133550551604</v>
      </c>
      <c r="BU18" s="7">
        <v>90.359803455381197</v>
      </c>
      <c r="BV18" s="7">
        <v>90.402884055351393</v>
      </c>
      <c r="BW18" s="6">
        <v>25.6999677731228</v>
      </c>
      <c r="BX18" s="7">
        <v>40.817183770883098</v>
      </c>
      <c r="BY18" s="7">
        <v>29.295476732834398</v>
      </c>
      <c r="BZ18" s="6">
        <v>2876</v>
      </c>
      <c r="CA18" s="7">
        <v>2751</v>
      </c>
      <c r="CB18" s="7">
        <v>2822</v>
      </c>
      <c r="CC18" s="6">
        <v>89.265024912389507</v>
      </c>
      <c r="CD18" s="7">
        <v>95.640603680828207</v>
      </c>
      <c r="CE18" s="7">
        <v>96.079945739082206</v>
      </c>
      <c r="CF18" s="13">
        <f t="shared" si="1"/>
        <v>1.0450060266908718</v>
      </c>
      <c r="CG18" s="13">
        <f t="shared" si="0"/>
        <v>1.3582819357344038</v>
      </c>
      <c r="CH18" s="21">
        <v>2</v>
      </c>
      <c r="CI18" s="16">
        <v>9.1123287671232873</v>
      </c>
      <c r="CJ18" s="19">
        <v>31</v>
      </c>
      <c r="CK18" s="20">
        <v>142</v>
      </c>
    </row>
    <row r="19" spans="1:99" x14ac:dyDescent="0.3">
      <c r="A19" s="12" t="s">
        <v>67</v>
      </c>
      <c r="B19" s="1" t="s">
        <v>137</v>
      </c>
      <c r="C19" s="13">
        <v>26.069446883639046</v>
      </c>
      <c r="D19" s="13">
        <v>15.132018758329878</v>
      </c>
      <c r="E19" s="13">
        <v>26.23019474944212</v>
      </c>
      <c r="F19" s="13">
        <v>14.002518741098079</v>
      </c>
      <c r="G19" s="13">
        <v>7.9154039415584094</v>
      </c>
      <c r="H19" s="13">
        <v>18.267146980668812</v>
      </c>
      <c r="I19" s="13">
        <v>12.491174541681817</v>
      </c>
      <c r="J19" s="13">
        <v>12.704940750497595</v>
      </c>
      <c r="K19" s="13">
        <v>20.620138461369354</v>
      </c>
      <c r="L19" s="13">
        <v>176.72030841228411</v>
      </c>
      <c r="M19" s="13">
        <v>66.614389879752238</v>
      </c>
      <c r="N19" s="13">
        <v>361.10152149094245</v>
      </c>
      <c r="O19" s="13">
        <v>-8.5252928103183017</v>
      </c>
      <c r="P19" s="13">
        <v>-4.2985252467796</v>
      </c>
      <c r="Q19" s="13">
        <v>-15.845162981009683</v>
      </c>
      <c r="R19" s="14">
        <v>0.10883313049159653</v>
      </c>
      <c r="S19" s="14">
        <v>0.43101566912760264</v>
      </c>
      <c r="T19" s="14">
        <v>0.39885380123333297</v>
      </c>
      <c r="U19" s="14">
        <v>0.45904388809334701</v>
      </c>
      <c r="V19" s="14">
        <v>0.65116753464889865</v>
      </c>
      <c r="W19" s="14">
        <v>0.30960244198241554</v>
      </c>
      <c r="X19" s="13">
        <v>374.4229568869124</v>
      </c>
      <c r="Y19" s="13">
        <v>380.83059899616529</v>
      </c>
      <c r="Z19" s="13">
        <v>618.08865037954649</v>
      </c>
      <c r="AA19" s="13">
        <v>1.4208782678061269</v>
      </c>
      <c r="AB19" s="13">
        <v>1.7141084078115987</v>
      </c>
      <c r="AC19" s="13">
        <v>1.5584584447615768</v>
      </c>
      <c r="AD19" s="13">
        <v>5.5762492142759399</v>
      </c>
      <c r="AE19" s="13">
        <v>2.696450768382066</v>
      </c>
      <c r="AF19" s="13">
        <v>5.1442305749539807</v>
      </c>
      <c r="AG19" s="13">
        <v>1.846901844668843</v>
      </c>
      <c r="AH19" s="13">
        <v>1.3208239065206866</v>
      </c>
      <c r="AI19" s="13">
        <v>3.796576091695302</v>
      </c>
      <c r="AJ19" s="13">
        <v>6.7235119284856868</v>
      </c>
      <c r="AK19" s="13">
        <v>4.3127769178165609</v>
      </c>
      <c r="AL19" s="13">
        <v>4.2296109892206699</v>
      </c>
      <c r="AM19" s="13">
        <v>2.566198295983511</v>
      </c>
      <c r="AN19" s="13">
        <v>1.1849224629266661</v>
      </c>
      <c r="AO19" s="13">
        <v>4.0043276151073917</v>
      </c>
      <c r="AP19" s="13">
        <v>2.5611454844064601</v>
      </c>
      <c r="AQ19" s="13">
        <v>3.4933566690974103</v>
      </c>
      <c r="AR19" s="13">
        <v>3.4219171490384577</v>
      </c>
      <c r="AS19" s="13">
        <v>1.9137539342390997</v>
      </c>
      <c r="AT19" s="13">
        <v>1.2429377355138318</v>
      </c>
      <c r="AU19" s="13">
        <v>3.4463005532293951</v>
      </c>
      <c r="AV19" s="13">
        <v>6.1383011505321203E-2</v>
      </c>
      <c r="AW19" s="13">
        <v>0.16179800612870901</v>
      </c>
      <c r="AX19" s="13">
        <v>0.12660099932861699</v>
      </c>
      <c r="AY19" s="13">
        <v>0.14604901515546001</v>
      </c>
      <c r="AZ19" s="13">
        <v>0.203716593796579</v>
      </c>
      <c r="BA19" s="13">
        <v>0.111036099646226</v>
      </c>
      <c r="BB19" s="13">
        <v>1.57458866391325</v>
      </c>
      <c r="BC19" s="13">
        <v>1.4549408106684301</v>
      </c>
      <c r="BD19" s="13">
        <v>1.4877627064900401</v>
      </c>
      <c r="BE19" s="13">
        <v>1.40122967759268</v>
      </c>
      <c r="BF19" s="13">
        <v>1.3397254959057501</v>
      </c>
      <c r="BG19" s="13">
        <v>1.4519996203821</v>
      </c>
      <c r="BH19" s="6">
        <v>87.823963816118606</v>
      </c>
      <c r="BI19" s="7">
        <v>84.254608041307307</v>
      </c>
      <c r="BJ19" s="7">
        <v>85.593970758968098</v>
      </c>
      <c r="BK19" s="6">
        <v>35.925501432664802</v>
      </c>
      <c r="BL19" s="7">
        <v>31.845310136157298</v>
      </c>
      <c r="BM19" s="7">
        <v>29.105386416861801</v>
      </c>
      <c r="BN19" s="6">
        <v>2827</v>
      </c>
      <c r="BO19" s="7">
        <v>2827</v>
      </c>
      <c r="BP19" s="7">
        <v>2851</v>
      </c>
      <c r="BQ19" s="6">
        <v>93.813888779255606</v>
      </c>
      <c r="BR19" s="7">
        <v>92.431029719382707</v>
      </c>
      <c r="BS19" s="7">
        <v>92.053481331987896</v>
      </c>
      <c r="BT19" s="6">
        <v>75.732660930310104</v>
      </c>
      <c r="BU19" s="7">
        <v>73.402996080257694</v>
      </c>
      <c r="BV19" s="7">
        <v>83.798719620167006</v>
      </c>
      <c r="BW19" s="6">
        <v>25.7210929690103</v>
      </c>
      <c r="BX19" s="7">
        <v>26.952262201638799</v>
      </c>
      <c r="BY19" s="7">
        <v>30.327464788732399</v>
      </c>
      <c r="BZ19" s="6">
        <v>2855</v>
      </c>
      <c r="CA19" s="7">
        <v>2871</v>
      </c>
      <c r="CB19" s="7">
        <v>2867</v>
      </c>
      <c r="CC19" s="6">
        <v>88.221207341970597</v>
      </c>
      <c r="CD19" s="7">
        <v>84.892444308351799</v>
      </c>
      <c r="CE19" s="7">
        <v>92.132206187149805</v>
      </c>
      <c r="CF19" s="13">
        <f t="shared" si="1"/>
        <v>1.0171133793785732</v>
      </c>
      <c r="CG19" s="13">
        <f t="shared" si="0"/>
        <v>1.650776585705531</v>
      </c>
      <c r="CH19" s="19">
        <v>1</v>
      </c>
      <c r="CI19" s="16">
        <v>10.413698630136986</v>
      </c>
      <c r="CJ19" s="26">
        <v>24.6</v>
      </c>
      <c r="CK19" s="27">
        <v>136</v>
      </c>
    </row>
    <row r="20" spans="1:99" x14ac:dyDescent="0.3">
      <c r="A20" s="12" t="s">
        <v>68</v>
      </c>
      <c r="B20" s="1" t="s">
        <v>137</v>
      </c>
      <c r="C20" s="13">
        <v>16.898319914092127</v>
      </c>
      <c r="D20" s="13">
        <v>14.179705978778969</v>
      </c>
      <c r="E20" s="13">
        <v>25.460565001840294</v>
      </c>
      <c r="F20" s="13">
        <v>16.025092121390994</v>
      </c>
      <c r="G20" s="13">
        <v>17.58987398930088</v>
      </c>
      <c r="H20" s="13">
        <v>15.588266428031805</v>
      </c>
      <c r="I20" s="13">
        <v>10.958526554752991</v>
      </c>
      <c r="J20" s="13">
        <v>10.764674306531155</v>
      </c>
      <c r="K20" s="13">
        <v>13.72637219302719</v>
      </c>
      <c r="L20" s="13">
        <v>122.94240520740659</v>
      </c>
      <c r="M20" s="13">
        <v>150.60469748905405</v>
      </c>
      <c r="N20" s="13">
        <v>347.7981963152356</v>
      </c>
      <c r="O20" s="13">
        <v>-7.7990715557593848</v>
      </c>
      <c r="P20" s="13">
        <v>-72.288343010650621</v>
      </c>
      <c r="Q20" s="13">
        <v>9.043504421638179</v>
      </c>
      <c r="R20" s="14">
        <v>0.24017771733166368</v>
      </c>
      <c r="S20" s="14">
        <v>0.18660128797376299</v>
      </c>
      <c r="T20" s="14">
        <v>0.19735208626804324</v>
      </c>
      <c r="U20" s="14">
        <v>0.57934567897222444</v>
      </c>
      <c r="V20" s="14">
        <v>0.12457383418757295</v>
      </c>
      <c r="W20" s="14">
        <v>0.26503414311373641</v>
      </c>
      <c r="X20" s="13">
        <v>328.48183347872077</v>
      </c>
      <c r="Y20" s="13">
        <v>322.6711123382712</v>
      </c>
      <c r="Z20" s="13">
        <v>411.44800648599016</v>
      </c>
      <c r="AA20" s="13">
        <v>0.97840166356667524</v>
      </c>
      <c r="AB20" s="13">
        <v>1.1010970107521436</v>
      </c>
      <c r="AC20" s="13">
        <v>1.0667331546976568</v>
      </c>
      <c r="AD20" s="13">
        <v>3.537975156163454</v>
      </c>
      <c r="AE20" s="13">
        <v>2.7499698322512862</v>
      </c>
      <c r="AF20" s="13">
        <v>5.4360382056541559</v>
      </c>
      <c r="AG20" s="13">
        <v>1.8788127290598289</v>
      </c>
      <c r="AH20" s="13">
        <v>2.9102137266527399</v>
      </c>
      <c r="AI20" s="13">
        <v>3.4385667392861556</v>
      </c>
      <c r="AJ20" s="13">
        <v>2.9216336707730752</v>
      </c>
      <c r="AK20" s="13">
        <v>2.5308294347166833</v>
      </c>
      <c r="AL20" s="13">
        <v>4.7007256025085038</v>
      </c>
      <c r="AM20" s="13">
        <v>1.2069484264435582</v>
      </c>
      <c r="AN20" s="13">
        <v>2.51877370990948</v>
      </c>
      <c r="AO20" s="13">
        <v>2.7976189038893606</v>
      </c>
      <c r="AP20" s="13">
        <v>0.96998177574526634</v>
      </c>
      <c r="AQ20" s="13">
        <v>0.91515977054853559</v>
      </c>
      <c r="AR20" s="13">
        <v>1.4507510664748173</v>
      </c>
      <c r="AS20" s="13">
        <v>1.2679010101568371</v>
      </c>
      <c r="AT20" s="13">
        <v>1.2181496605223763</v>
      </c>
      <c r="AU20" s="13">
        <v>1.5864881387061456</v>
      </c>
      <c r="AV20" s="13">
        <v>7.4967400017129204E-2</v>
      </c>
      <c r="AW20" s="13">
        <v>9.7501937076902606E-2</v>
      </c>
      <c r="AX20" s="13">
        <v>5.9468103787514999E-2</v>
      </c>
      <c r="AY20" s="13">
        <v>0.143119358673336</v>
      </c>
      <c r="AZ20" s="13">
        <v>7.9289971121379393E-2</v>
      </c>
      <c r="BA20" s="13">
        <v>9.3478959340123194E-2</v>
      </c>
      <c r="BB20" s="13">
        <v>1.63771594618326</v>
      </c>
      <c r="BC20" s="13">
        <v>1.5966657838492599</v>
      </c>
      <c r="BD20" s="13">
        <v>1.6450321861300901</v>
      </c>
      <c r="BE20" s="13">
        <v>1.3306733216344899</v>
      </c>
      <c r="BF20" s="13">
        <v>1.4336779970867499</v>
      </c>
      <c r="BG20" s="13">
        <v>1.5052410539537</v>
      </c>
      <c r="BH20" s="6">
        <v>88.288700927254794</v>
      </c>
      <c r="BI20" s="7">
        <v>83.967789895925904</v>
      </c>
      <c r="BJ20" s="7">
        <v>92.853105944177301</v>
      </c>
      <c r="BK20" s="6">
        <v>39.019793072424697</v>
      </c>
      <c r="BL20" s="7">
        <v>30.324324324324301</v>
      </c>
      <c r="BM20" s="7">
        <v>37.533867735470899</v>
      </c>
      <c r="BN20" s="6">
        <v>2803</v>
      </c>
      <c r="BO20" s="7">
        <v>2831</v>
      </c>
      <c r="BP20" s="7">
        <v>2840</v>
      </c>
      <c r="BQ20" s="6">
        <v>93.668275647522805</v>
      </c>
      <c r="BR20" s="7">
        <v>92.227426131276303</v>
      </c>
      <c r="BS20" s="7">
        <v>96.850174284163899</v>
      </c>
      <c r="BT20" s="6">
        <v>69.095524355808294</v>
      </c>
      <c r="BU20" s="7">
        <v>86.267658957661794</v>
      </c>
      <c r="BV20" s="7">
        <v>87.488837761458996</v>
      </c>
      <c r="BW20" s="6">
        <v>24.241629271660301</v>
      </c>
      <c r="BX20" s="7">
        <v>34.494377162629803</v>
      </c>
      <c r="BY20" s="7">
        <v>31.9195093905711</v>
      </c>
      <c r="BZ20" s="6">
        <v>2851</v>
      </c>
      <c r="CA20" s="7">
        <v>2719</v>
      </c>
      <c r="CB20" s="7">
        <v>2759</v>
      </c>
      <c r="CC20" s="6">
        <v>81.935671663513304</v>
      </c>
      <c r="CD20" s="7">
        <v>93.193932157857702</v>
      </c>
      <c r="CE20" s="7">
        <v>94.610477699421097</v>
      </c>
      <c r="CF20" s="13">
        <f t="shared" si="1"/>
        <v>0.98231037290886891</v>
      </c>
      <c r="CG20" s="13">
        <f t="shared" si="0"/>
        <v>1.252574616162583</v>
      </c>
      <c r="CH20" s="19">
        <v>2</v>
      </c>
      <c r="CI20" s="16">
        <v>10.717808219178082</v>
      </c>
      <c r="CJ20" s="19">
        <v>49.8</v>
      </c>
      <c r="CK20" s="20">
        <v>157</v>
      </c>
    </row>
    <row r="21" spans="1:99" x14ac:dyDescent="0.3">
      <c r="A21" s="28" t="s">
        <v>70</v>
      </c>
      <c r="B21" s="1" t="s">
        <v>137</v>
      </c>
      <c r="C21" s="13">
        <v>20.644737109474278</v>
      </c>
      <c r="D21" s="13">
        <v>34.096164250074565</v>
      </c>
      <c r="E21" s="13">
        <v>41.060655829485157</v>
      </c>
      <c r="F21" s="13">
        <v>13.605708627161754</v>
      </c>
      <c r="G21" s="13">
        <v>28.023868285689247</v>
      </c>
      <c r="H21" s="13">
        <v>20.814218008919934</v>
      </c>
      <c r="I21" s="13">
        <v>13.139639636360004</v>
      </c>
      <c r="J21" s="13">
        <v>16.153154865451086</v>
      </c>
      <c r="K21" s="13">
        <v>18.650305471870595</v>
      </c>
      <c r="L21" s="13">
        <v>147.85672576538531</v>
      </c>
      <c r="M21" s="13">
        <v>413.96953025429451</v>
      </c>
      <c r="N21" s="13">
        <v>540.33676215712512</v>
      </c>
      <c r="O21" s="13">
        <v>-2.2502174233480021</v>
      </c>
      <c r="P21" s="13">
        <v>-33.511211925816902</v>
      </c>
      <c r="Q21" s="13">
        <v>-0.31372895267275508</v>
      </c>
      <c r="R21" s="14">
        <v>0.15050670973297786</v>
      </c>
      <c r="S21" s="14">
        <v>0.13953102026557554</v>
      </c>
      <c r="T21" s="14">
        <v>0.28475073816763435</v>
      </c>
      <c r="U21" s="14">
        <v>0.53858417279239845</v>
      </c>
      <c r="V21" s="14">
        <v>0.23918995183822625</v>
      </c>
      <c r="W21" s="14">
        <v>0.41412447891626236</v>
      </c>
      <c r="X21" s="13">
        <v>393.86069809989118</v>
      </c>
      <c r="Y21" s="13">
        <v>484.19081709189646</v>
      </c>
      <c r="Z21" s="13">
        <v>559.04290651932104</v>
      </c>
      <c r="AA21" s="13">
        <v>0.94614118213601062</v>
      </c>
      <c r="AB21" s="13">
        <v>0.88000915444210581</v>
      </c>
      <c r="AC21" s="13">
        <v>1.2189755107439209</v>
      </c>
      <c r="AD21" s="13">
        <v>3.6973317033790467</v>
      </c>
      <c r="AE21" s="13">
        <v>6.2819973767352417</v>
      </c>
      <c r="AF21" s="13">
        <v>8.7615403620940242</v>
      </c>
      <c r="AG21" s="13">
        <v>2.1255460780309505</v>
      </c>
      <c r="AH21" s="13">
        <v>4.7377439621814874</v>
      </c>
      <c r="AI21" s="13">
        <v>3.2747623568296809</v>
      </c>
      <c r="AJ21" s="13">
        <v>3.2234222232644338</v>
      </c>
      <c r="AK21" s="13">
        <v>5.897976512217352</v>
      </c>
      <c r="AL21" s="13">
        <v>7.7194123219582735</v>
      </c>
      <c r="AM21" s="13">
        <v>1.400171906757842</v>
      </c>
      <c r="AN21" s="13">
        <v>4.1390524942739901</v>
      </c>
      <c r="AO21" s="13">
        <v>2.2324930838822827</v>
      </c>
      <c r="AP21" s="13">
        <v>1.2125071038471735</v>
      </c>
      <c r="AQ21" s="13">
        <v>1.479381361575558</v>
      </c>
      <c r="AR21" s="13">
        <v>2.674543925858972</v>
      </c>
      <c r="AS21" s="13">
        <v>1.4278090668135219</v>
      </c>
      <c r="AT21" s="13">
        <v>1.8207771832240425</v>
      </c>
      <c r="AU21" s="13">
        <v>2.0824810110015965</v>
      </c>
      <c r="AV21" s="13">
        <v>8.1639769268722504E-2</v>
      </c>
      <c r="AW21" s="13">
        <v>5.3918661329095098E-2</v>
      </c>
      <c r="AX21" s="13">
        <v>4.94981740211815E-2</v>
      </c>
      <c r="AY21" s="13">
        <v>0.174326338031389</v>
      </c>
      <c r="AZ21" s="13">
        <v>8.07699748420867E-2</v>
      </c>
      <c r="BA21" s="13">
        <v>0.12773033492309299</v>
      </c>
      <c r="BB21" s="13">
        <v>1.5645683087904401</v>
      </c>
      <c r="BC21" s="13">
        <v>1.53972804275636</v>
      </c>
      <c r="BD21" s="13">
        <v>1.6483273031413199</v>
      </c>
      <c r="BE21" s="13">
        <v>1.34544852395704</v>
      </c>
      <c r="BF21" s="13">
        <v>1.39623190190503</v>
      </c>
      <c r="BG21" s="13">
        <v>1.4335709214841299</v>
      </c>
      <c r="BH21" s="6">
        <v>88.087460699848904</v>
      </c>
      <c r="BI21" s="7">
        <v>91.065509701293195</v>
      </c>
      <c r="BJ21" s="7">
        <v>94.122215965358606</v>
      </c>
      <c r="BK21" s="6">
        <v>31.085734870317001</v>
      </c>
      <c r="BL21" s="7">
        <v>35.2639846743295</v>
      </c>
      <c r="BM21" s="7">
        <v>36.458819104926697</v>
      </c>
      <c r="BN21" s="6">
        <v>2799</v>
      </c>
      <c r="BO21" s="7">
        <v>2843</v>
      </c>
      <c r="BP21" s="7">
        <v>2870</v>
      </c>
      <c r="BQ21" s="6">
        <v>94.758665110100196</v>
      </c>
      <c r="BR21" s="7">
        <v>95.754261349777096</v>
      </c>
      <c r="BS21" s="7">
        <v>97.167096764926995</v>
      </c>
      <c r="BT21" s="6">
        <v>85.424102859336003</v>
      </c>
      <c r="BU21" s="7">
        <v>87.659723098118704</v>
      </c>
      <c r="BV21" s="7">
        <v>82.974347033026802</v>
      </c>
      <c r="BW21" s="6">
        <v>32.140433212996399</v>
      </c>
      <c r="BX21" s="7">
        <v>31.959674566678501</v>
      </c>
      <c r="BY21" s="7">
        <v>29.6944444444444</v>
      </c>
      <c r="BZ21" s="6">
        <v>2887</v>
      </c>
      <c r="CA21" s="7">
        <v>2871</v>
      </c>
      <c r="CB21" s="7">
        <v>2871</v>
      </c>
      <c r="CC21" s="6">
        <v>91.777237280436097</v>
      </c>
      <c r="CD21" s="7">
        <v>93.855796373379306</v>
      </c>
      <c r="CE21" s="7">
        <v>91.270669065298904</v>
      </c>
      <c r="CF21" s="13">
        <f t="shared" si="1"/>
        <v>1.229345348311691</v>
      </c>
      <c r="CG21" s="13">
        <f t="shared" si="0"/>
        <v>1.4193924634174497</v>
      </c>
      <c r="CH21" s="19">
        <v>1</v>
      </c>
      <c r="CI21" s="16">
        <v>9.0904109589041102</v>
      </c>
      <c r="CJ21" s="19">
        <v>36</v>
      </c>
      <c r="CK21" s="20">
        <v>151</v>
      </c>
    </row>
    <row r="22" spans="1:99" x14ac:dyDescent="0.3">
      <c r="A22" s="28" t="s">
        <v>71</v>
      </c>
      <c r="B22" s="85" t="s">
        <v>137</v>
      </c>
      <c r="C22" s="86">
        <v>24.758869339065534</v>
      </c>
      <c r="D22" s="86">
        <v>29.340253545066439</v>
      </c>
      <c r="E22" s="13">
        <v>31.838116198845452</v>
      </c>
      <c r="F22" s="13">
        <v>21.639803218214603</v>
      </c>
      <c r="G22" s="13">
        <v>23.340385485598048</v>
      </c>
      <c r="H22" s="13">
        <v>35.896480761623934</v>
      </c>
      <c r="I22" s="13">
        <v>19.974171349113888</v>
      </c>
      <c r="J22" s="13">
        <v>22.269924676931723</v>
      </c>
      <c r="K22" s="13">
        <v>21.787132833504536</v>
      </c>
      <c r="L22" s="13">
        <v>252.41982321539706</v>
      </c>
      <c r="M22" s="13">
        <v>389.24615039482757</v>
      </c>
      <c r="N22" s="13">
        <v>870.94376792927608</v>
      </c>
      <c r="O22" s="13">
        <v>-13.927592060912673</v>
      </c>
      <c r="P22" s="13">
        <v>-10.68707620948064</v>
      </c>
      <c r="Q22" s="13">
        <v>-45.513919903114676</v>
      </c>
      <c r="R22" s="14">
        <v>0.31907424269855844</v>
      </c>
      <c r="S22" s="14">
        <v>0.2087238094305329</v>
      </c>
      <c r="T22" s="14">
        <v>0.34626074760876147</v>
      </c>
      <c r="U22" s="14">
        <v>0.5375965439251692</v>
      </c>
      <c r="V22" s="14">
        <v>0.47305334979018043</v>
      </c>
      <c r="W22" s="14">
        <v>0.19855491595646205</v>
      </c>
      <c r="X22" s="13">
        <v>598.72578618968896</v>
      </c>
      <c r="Y22" s="13">
        <v>667.54099219102841</v>
      </c>
      <c r="Z22" s="13">
        <v>653.06930668429845</v>
      </c>
      <c r="AA22" s="13">
        <v>0.88683351884259731</v>
      </c>
      <c r="AB22" s="13">
        <v>0.8998270309893488</v>
      </c>
      <c r="AC22" s="13">
        <v>1.0160903260669472</v>
      </c>
      <c r="AD22" s="13">
        <v>4.4573061207590587</v>
      </c>
      <c r="AE22" s="13">
        <v>5.4475784528891245</v>
      </c>
      <c r="AF22" s="13">
        <v>6.8966353399302731</v>
      </c>
      <c r="AG22" s="13">
        <v>3.0699240102972292</v>
      </c>
      <c r="AH22" s="13">
        <v>3.831902537334229</v>
      </c>
      <c r="AI22" s="13">
        <v>6.9278177476033402</v>
      </c>
      <c r="AJ22" s="13">
        <v>3.6120329606559718</v>
      </c>
      <c r="AK22" s="13">
        <v>4.6698852172863416</v>
      </c>
      <c r="AL22" s="13">
        <v>5.7360354809073044</v>
      </c>
      <c r="AM22" s="13">
        <v>1.8525564478884173</v>
      </c>
      <c r="AN22" s="13">
        <v>3.043724925603716</v>
      </c>
      <c r="AO22" s="13">
        <v>6.2005900960063878</v>
      </c>
      <c r="AP22" s="13">
        <v>1.7483684199642122</v>
      </c>
      <c r="AQ22" s="13">
        <v>1.8408147573524645</v>
      </c>
      <c r="AR22" s="13">
        <v>2.6469196653187379</v>
      </c>
      <c r="AS22" s="13">
        <v>1.920876864125912</v>
      </c>
      <c r="AT22" s="13">
        <v>1.9006104633751726</v>
      </c>
      <c r="AU22" s="13">
        <v>2.4760947671787226</v>
      </c>
      <c r="AV22" s="13">
        <v>0.101495097212182</v>
      </c>
      <c r="AW22" s="13">
        <v>9.6239525397499706E-2</v>
      </c>
      <c r="AX22" s="13">
        <v>0</v>
      </c>
      <c r="AY22" s="13">
        <v>0.17841441873800501</v>
      </c>
      <c r="AZ22" s="13">
        <v>0.14994076972593601</v>
      </c>
      <c r="BA22" s="13">
        <v>0</v>
      </c>
      <c r="BB22" s="13">
        <v>1.52715140925424</v>
      </c>
      <c r="BC22" s="13">
        <v>1.54152970540261</v>
      </c>
      <c r="BD22" s="13">
        <v>1.52745982192024</v>
      </c>
      <c r="BE22" s="13">
        <v>1.2772294993156299</v>
      </c>
      <c r="BF22" s="13">
        <v>1.2306923904035501</v>
      </c>
      <c r="BG22" s="13">
        <v>1.3647994984309899</v>
      </c>
      <c r="BH22" s="6">
        <v>81.674480910917595</v>
      </c>
      <c r="BI22" s="7">
        <v>84.518803134359999</v>
      </c>
      <c r="BJ22" s="7">
        <v>89.771134061333697</v>
      </c>
      <c r="BK22" s="6">
        <v>24.098814229249001</v>
      </c>
      <c r="BL22" s="7">
        <v>27.4420432220039</v>
      </c>
      <c r="BM22" s="7">
        <v>30.2770562770563</v>
      </c>
      <c r="BN22" s="6">
        <v>2891</v>
      </c>
      <c r="BO22" s="7">
        <v>2816</v>
      </c>
      <c r="BP22" s="7">
        <v>2846</v>
      </c>
      <c r="BQ22" s="6">
        <v>90.687643927668105</v>
      </c>
      <c r="BR22" s="7">
        <v>93.570487483530997</v>
      </c>
      <c r="BS22" s="7">
        <v>95.583001884027595</v>
      </c>
      <c r="BT22" s="6">
        <v>64.414968125553898</v>
      </c>
      <c r="BU22" s="7">
        <v>69.2832965415747</v>
      </c>
      <c r="BV22" s="7">
        <v>76.514223695870797</v>
      </c>
      <c r="BW22" s="6">
        <v>21.4941176470588</v>
      </c>
      <c r="BX22" s="7">
        <v>21.768495684340301</v>
      </c>
      <c r="BY22" s="7">
        <v>23.783348808418399</v>
      </c>
      <c r="BZ22" s="6">
        <v>2897</v>
      </c>
      <c r="CA22" s="7">
        <v>2855</v>
      </c>
      <c r="CB22" s="7">
        <v>2834</v>
      </c>
      <c r="CC22" s="6">
        <v>79.170896307993104</v>
      </c>
      <c r="CD22" s="7">
        <v>83.993691523226204</v>
      </c>
      <c r="CE22" s="7">
        <v>88.244304039823902</v>
      </c>
      <c r="CF22" s="13">
        <f t="shared" si="1"/>
        <v>1.1149360986091508</v>
      </c>
      <c r="CG22" s="13">
        <f t="shared" si="0"/>
        <v>1.0907652914708308</v>
      </c>
      <c r="CH22" s="19">
        <v>1</v>
      </c>
      <c r="CI22" s="16">
        <v>7.8273972602739725</v>
      </c>
      <c r="CJ22" s="19">
        <v>23</v>
      </c>
      <c r="CK22" s="20">
        <v>125</v>
      </c>
    </row>
    <row r="23" spans="1:99" x14ac:dyDescent="0.3">
      <c r="A23" s="28" t="s">
        <v>72</v>
      </c>
      <c r="B23" s="85" t="s">
        <v>137</v>
      </c>
      <c r="C23" s="86">
        <v>30.771421007568186</v>
      </c>
      <c r="D23" s="86">
        <v>23.394142246870111</v>
      </c>
      <c r="E23" s="13">
        <v>50.303804798137541</v>
      </c>
      <c r="F23" s="13">
        <v>10.238977475401713</v>
      </c>
      <c r="G23" s="13">
        <v>8.6360613258912302</v>
      </c>
      <c r="H23" s="13">
        <v>33.591342312919465</v>
      </c>
      <c r="I23" s="13">
        <v>6.8112688922959004</v>
      </c>
      <c r="J23" s="13">
        <v>8.5499212174436092</v>
      </c>
      <c r="K23" s="13">
        <v>20.966815993210393</v>
      </c>
      <c r="L23" s="13">
        <v>218.59773583047104</v>
      </c>
      <c r="M23" s="13">
        <v>193.46388056660325</v>
      </c>
      <c r="N23" s="13">
        <v>1440.8457527132778</v>
      </c>
      <c r="O23" s="13">
        <v>-1.0486246646915542</v>
      </c>
      <c r="P23" s="13">
        <v>7.8625916793997437</v>
      </c>
      <c r="Q23" s="13">
        <v>18.235796351048862</v>
      </c>
      <c r="R23" s="14">
        <v>0.1102533493248868</v>
      </c>
      <c r="S23" s="14">
        <v>0.23496316606058923</v>
      </c>
      <c r="T23" s="14">
        <v>0.32157171973601434</v>
      </c>
      <c r="U23" s="14">
        <v>0.26296322242720177</v>
      </c>
      <c r="V23" s="14">
        <v>0.12935589467132871</v>
      </c>
      <c r="W23" s="14">
        <v>0.2629974005561837</v>
      </c>
      <c r="X23" s="13">
        <v>204.16778504656969</v>
      </c>
      <c r="Y23" s="13">
        <v>256.28388849287234</v>
      </c>
      <c r="Z23" s="13">
        <v>628.48030939648197</v>
      </c>
      <c r="AA23" s="13">
        <v>1.6434994959651086</v>
      </c>
      <c r="AB23" s="13">
        <v>1.8787782474938806</v>
      </c>
      <c r="AC23" s="13">
        <v>1.8879625185139339</v>
      </c>
      <c r="AD23" s="13">
        <v>5.9034144121687442</v>
      </c>
      <c r="AE23" s="13">
        <v>6.3174252468664207</v>
      </c>
      <c r="AF23" s="13">
        <v>12.111108678682868</v>
      </c>
      <c r="AG23" s="13">
        <v>1.9684370350795855</v>
      </c>
      <c r="AH23" s="13">
        <v>1.8191025032651695</v>
      </c>
      <c r="AI23" s="13">
        <v>6.9871315968901504</v>
      </c>
      <c r="AJ23" s="13">
        <v>6.1269966976426131</v>
      </c>
      <c r="AK23" s="13">
        <v>6.0657884230932151</v>
      </c>
      <c r="AL23" s="13">
        <v>12.002961754703861</v>
      </c>
      <c r="AM23" s="13">
        <v>1.957624164935319</v>
      </c>
      <c r="AN23" s="13">
        <v>1.786718535768721</v>
      </c>
      <c r="AO23" s="13">
        <v>5.8173579554320174</v>
      </c>
      <c r="AP23" s="13">
        <v>1.2753778653678931</v>
      </c>
      <c r="AQ23" s="13">
        <v>1.0196589554259217</v>
      </c>
      <c r="AR23" s="13">
        <v>3.1959406687550027</v>
      </c>
      <c r="AS23" s="13">
        <v>0.37087466450138884</v>
      </c>
      <c r="AT23" s="13">
        <v>0.58518718050257712</v>
      </c>
      <c r="AU23" s="13">
        <v>2.2026089433233662</v>
      </c>
      <c r="AV23" s="13">
        <v>2.8814327472065401E-2</v>
      </c>
      <c r="AW23" s="13">
        <v>3.7387914116025697E-2</v>
      </c>
      <c r="AX23" s="13">
        <v>5.34514815578358E-2</v>
      </c>
      <c r="AY23" s="13">
        <v>6.0708298763221799E-2</v>
      </c>
      <c r="AZ23" s="13">
        <v>8.3029992921108395E-2</v>
      </c>
      <c r="BA23" s="13">
        <v>5.03243084263287E-2</v>
      </c>
      <c r="BB23" s="13">
        <v>1.6804093286308699</v>
      </c>
      <c r="BC23" s="13">
        <v>1.5763424712599401</v>
      </c>
      <c r="BD23" s="13">
        <v>1.56746683157472</v>
      </c>
      <c r="BE23" s="13">
        <v>1.52213423965713</v>
      </c>
      <c r="BF23" s="13">
        <v>1.4699197841640901</v>
      </c>
      <c r="BG23" s="13">
        <v>1.5593305401223001</v>
      </c>
      <c r="BH23" s="6">
        <v>93.517655485022999</v>
      </c>
      <c r="BI23" s="7">
        <v>93.939997411106404</v>
      </c>
      <c r="BJ23" s="7">
        <v>93.607518287070704</v>
      </c>
      <c r="BK23" s="6">
        <v>37.793814432989699</v>
      </c>
      <c r="BL23" s="7">
        <v>38.164644012944997</v>
      </c>
      <c r="BM23" s="7">
        <v>43.248433303491502</v>
      </c>
      <c r="BN23" s="6">
        <v>2855</v>
      </c>
      <c r="BO23" s="7">
        <v>2834</v>
      </c>
      <c r="BP23" s="7">
        <v>2873</v>
      </c>
      <c r="BQ23" s="6">
        <v>97.440276339851593</v>
      </c>
      <c r="BR23" s="7">
        <v>97.851668933149398</v>
      </c>
      <c r="BS23" s="7">
        <v>97.439131598058296</v>
      </c>
      <c r="BT23" s="6">
        <v>90.981091550646298</v>
      </c>
      <c r="BU23" s="7">
        <v>91.2021717973672</v>
      </c>
      <c r="BV23" s="7">
        <v>93.095026642983996</v>
      </c>
      <c r="BW23" s="6">
        <v>34.478924418604699</v>
      </c>
      <c r="BX23" s="7">
        <v>38.357173632055201</v>
      </c>
      <c r="BY23" s="7">
        <v>42.905116279069802</v>
      </c>
      <c r="BZ23" s="6">
        <v>2888</v>
      </c>
      <c r="CA23" s="7">
        <v>2794</v>
      </c>
      <c r="CB23" s="7">
        <v>2815</v>
      </c>
      <c r="CC23" s="6">
        <v>95.559243969679301</v>
      </c>
      <c r="CD23" s="7">
        <v>96.392879686908202</v>
      </c>
      <c r="CE23" s="7">
        <v>97.400394045534199</v>
      </c>
      <c r="CF23" s="13">
        <f t="shared" si="1"/>
        <v>1.255261149227902</v>
      </c>
      <c r="CG23" s="13">
        <f t="shared" si="0"/>
        <v>3.0782540411707391</v>
      </c>
      <c r="CH23" s="19">
        <v>1</v>
      </c>
      <c r="CI23" s="16">
        <v>10.96986301369863</v>
      </c>
      <c r="CJ23" s="19">
        <v>34.15</v>
      </c>
      <c r="CK23" s="20">
        <v>152.5</v>
      </c>
    </row>
    <row r="24" spans="1:99" ht="15" thickBot="1" x14ac:dyDescent="0.35">
      <c r="A24" s="28" t="s">
        <v>73</v>
      </c>
      <c r="B24" s="85" t="s">
        <v>137</v>
      </c>
      <c r="C24" s="86">
        <v>28.532181187075111</v>
      </c>
      <c r="D24" s="86">
        <v>29.696694054744455</v>
      </c>
      <c r="E24" s="13">
        <v>37.275053135525098</v>
      </c>
      <c r="F24" s="13">
        <v>29.598400369889529</v>
      </c>
      <c r="G24" s="13">
        <v>14.232246932366429</v>
      </c>
      <c r="H24" s="13">
        <v>19.693398101808491</v>
      </c>
      <c r="I24" s="13">
        <v>13.54971534149287</v>
      </c>
      <c r="J24" s="13">
        <v>14.242570804121586</v>
      </c>
      <c r="K24" s="13">
        <v>17.27890476714909</v>
      </c>
      <c r="L24" s="13">
        <v>494.78644387321697</v>
      </c>
      <c r="M24" s="13">
        <v>270.90840813915196</v>
      </c>
      <c r="N24" s="13">
        <v>525.31477079634135</v>
      </c>
      <c r="O24" s="13">
        <v>2.9798872036120398</v>
      </c>
      <c r="P24" s="13">
        <v>-0.65111850832209694</v>
      </c>
      <c r="Q24" s="13">
        <v>-17.171551998529562</v>
      </c>
      <c r="R24" s="14">
        <v>0.14228072241911086</v>
      </c>
      <c r="S24" s="14">
        <v>0.26357624730814067</v>
      </c>
      <c r="T24" s="14">
        <v>0.35848621896195865</v>
      </c>
      <c r="U24" s="14">
        <v>0.31913825174401411</v>
      </c>
      <c r="V24" s="14">
        <v>0.36230278149201633</v>
      </c>
      <c r="W24" s="14">
        <v>0.27432889322769094</v>
      </c>
      <c r="X24" s="13">
        <v>406.15271736124873</v>
      </c>
      <c r="Y24" s="13">
        <v>426.92105985354453</v>
      </c>
      <c r="Z24" s="13">
        <v>517.93517039529388</v>
      </c>
      <c r="AA24" s="13">
        <v>1.1563695894987664</v>
      </c>
      <c r="AB24" s="13">
        <v>1.2616628940036161</v>
      </c>
      <c r="AC24" s="13">
        <v>1.6772016073381271</v>
      </c>
      <c r="AD24" s="13">
        <v>7.062087988765632</v>
      </c>
      <c r="AE24" s="13">
        <v>5.6062748164067182</v>
      </c>
      <c r="AF24" s="13">
        <v>6.9379303538224724</v>
      </c>
      <c r="AG24" s="13">
        <v>3.7295103157065785</v>
      </c>
      <c r="AH24" s="13">
        <v>2.5662148835282914</v>
      </c>
      <c r="AI24" s="13">
        <v>4.2799400919032626</v>
      </c>
      <c r="AJ24" s="13">
        <v>6.9709208065151671</v>
      </c>
      <c r="AK24" s="13">
        <v>5.1508505805775089</v>
      </c>
      <c r="AL24" s="13">
        <v>6.9694111813063691</v>
      </c>
      <c r="AM24" s="13">
        <v>3.8701354020990233</v>
      </c>
      <c r="AN24" s="13">
        <v>2.7898286688273535</v>
      </c>
      <c r="AO24" s="13">
        <v>4.5052744617858078</v>
      </c>
      <c r="AP24" s="13">
        <v>1.0643861654345095</v>
      </c>
      <c r="AQ24" s="13">
        <v>1.7320415689433739</v>
      </c>
      <c r="AR24" s="13">
        <v>3.8963313732031915</v>
      </c>
      <c r="AS24" s="13">
        <v>1.5369444983176601</v>
      </c>
      <c r="AT24" s="13">
        <v>1.5678024729631781</v>
      </c>
      <c r="AU24" s="13">
        <v>1.8122986270139396</v>
      </c>
      <c r="AV24" s="13">
        <v>4.7655748305177298E-2</v>
      </c>
      <c r="AW24" s="13">
        <v>6.5968541321784299E-2</v>
      </c>
      <c r="AX24" s="13">
        <v>7.5695791862002607E-2</v>
      </c>
      <c r="AY24" s="13">
        <v>6.3249756282360806E-2</v>
      </c>
      <c r="AZ24" s="13">
        <v>0.119091937901043</v>
      </c>
      <c r="BA24" s="13">
        <v>7.37661809374556E-2</v>
      </c>
      <c r="BB24" s="13">
        <v>1.6035325500584301</v>
      </c>
      <c r="BC24" s="13">
        <v>1.7002589860855299</v>
      </c>
      <c r="BD24" s="13">
        <v>1.5780575900187299</v>
      </c>
      <c r="BE24" s="13">
        <v>1.4784598357308001</v>
      </c>
      <c r="BF24" s="13">
        <v>1.44056418178576</v>
      </c>
      <c r="BG24" s="13">
        <v>1.6885429987751499</v>
      </c>
      <c r="BH24" s="6">
        <v>91.761094897856495</v>
      </c>
      <c r="BI24" s="7">
        <v>92.557034890156899</v>
      </c>
      <c r="BJ24" s="7">
        <v>90.078654999508402</v>
      </c>
      <c r="BK24" s="6">
        <v>45.545954045954097</v>
      </c>
      <c r="BL24" s="7">
        <v>32.0910676901605</v>
      </c>
      <c r="BM24" s="7">
        <v>32.305712270804001</v>
      </c>
      <c r="BN24" s="6">
        <v>2819</v>
      </c>
      <c r="BO24" s="7">
        <v>2819</v>
      </c>
      <c r="BP24" s="7">
        <v>2852</v>
      </c>
      <c r="BQ24" s="6">
        <v>96.406529073228796</v>
      </c>
      <c r="BR24" s="7">
        <v>96.560295299616001</v>
      </c>
      <c r="BS24" s="7">
        <v>95.452143518541007</v>
      </c>
      <c r="BT24" s="6">
        <v>90.919886165878395</v>
      </c>
      <c r="BU24" s="7">
        <v>89.430180912143896</v>
      </c>
      <c r="BV24" s="7">
        <v>94.935091073764696</v>
      </c>
      <c r="BW24" s="6">
        <v>39.596968345965202</v>
      </c>
      <c r="BX24" s="7">
        <v>38.095523765574498</v>
      </c>
      <c r="BY24" s="7">
        <v>50.855525606469001</v>
      </c>
      <c r="BZ24" s="6">
        <v>2795</v>
      </c>
      <c r="CA24" s="7">
        <v>2717</v>
      </c>
      <c r="CB24" s="7">
        <v>2819</v>
      </c>
      <c r="CC24" s="6">
        <v>95.310544588430005</v>
      </c>
      <c r="CD24" s="7">
        <v>95.263107324728594</v>
      </c>
      <c r="CE24" s="7">
        <v>98.020440563603898</v>
      </c>
      <c r="CF24" s="13">
        <f t="shared" si="1"/>
        <v>1.0511343187046158</v>
      </c>
      <c r="CG24" s="13">
        <f t="shared" si="0"/>
        <v>1.2752227136636913</v>
      </c>
      <c r="CH24" s="29">
        <v>1</v>
      </c>
      <c r="CI24" s="16">
        <v>10.465753424657533</v>
      </c>
      <c r="CJ24" s="29">
        <v>31.5</v>
      </c>
      <c r="CK24" s="30">
        <v>134</v>
      </c>
    </row>
    <row r="25" spans="1:99" ht="15" thickBot="1" x14ac:dyDescent="0.35">
      <c r="A25" s="87" t="s">
        <v>69</v>
      </c>
      <c r="B25" s="89" t="s">
        <v>137</v>
      </c>
      <c r="C25" s="88">
        <v>22.388609743644373</v>
      </c>
      <c r="D25" s="88">
        <v>35.706853280141871</v>
      </c>
      <c r="E25" s="31">
        <v>32.528709978392506</v>
      </c>
      <c r="F25" s="31">
        <v>14.322038045830462</v>
      </c>
      <c r="G25" s="31">
        <v>19.167011469699013</v>
      </c>
      <c r="H25" s="31">
        <v>25.320205106369507</v>
      </c>
      <c r="I25" s="31">
        <v>11.395368410872891</v>
      </c>
      <c r="J25" s="31">
        <v>13.214915121008719</v>
      </c>
      <c r="K25" s="31">
        <v>16.437524706235948</v>
      </c>
      <c r="L25" s="31">
        <v>204.97406312245761</v>
      </c>
      <c r="M25" s="31">
        <v>428.21572663525689</v>
      </c>
      <c r="N25" s="31">
        <v>563.75467737785573</v>
      </c>
      <c r="O25" s="31">
        <v>-1.3406628483737575</v>
      </c>
      <c r="P25" s="31">
        <v>-5.9935872636030201</v>
      </c>
      <c r="Q25" s="31">
        <v>-30.81444337655115</v>
      </c>
      <c r="R25" s="14">
        <v>0.29296875</v>
      </c>
      <c r="S25" s="14">
        <v>0.3173828125</v>
      </c>
      <c r="T25" s="14">
        <v>0.2685546875</v>
      </c>
      <c r="U25" s="14">
        <v>0.390625</v>
      </c>
      <c r="V25" s="14">
        <v>0.29296875</v>
      </c>
      <c r="W25" s="14">
        <v>0.2685546875</v>
      </c>
      <c r="X25" s="31">
        <v>341.57616811591504</v>
      </c>
      <c r="Y25" s="31">
        <v>396.11708075223623</v>
      </c>
      <c r="Z25" s="31">
        <v>492.71480306942254</v>
      </c>
      <c r="AA25" s="31">
        <v>1.2643840554983816</v>
      </c>
      <c r="AB25" s="31">
        <v>1.801129104074261</v>
      </c>
      <c r="AC25" s="31">
        <v>1.3534839442896627</v>
      </c>
      <c r="AD25" s="31">
        <v>4.5171911083083049</v>
      </c>
      <c r="AE25" s="31">
        <v>7.0075531593719935</v>
      </c>
      <c r="AF25" s="31">
        <v>6.0313594098402881</v>
      </c>
      <c r="AG25" s="31">
        <v>2.4104920034026116</v>
      </c>
      <c r="AH25" s="31">
        <v>3.2958929749108967</v>
      </c>
      <c r="AI25" s="31">
        <v>5.1763287217301643</v>
      </c>
      <c r="AJ25" s="31">
        <v>4.1930804928075585</v>
      </c>
      <c r="AK25" s="31">
        <v>6.4999168470895148</v>
      </c>
      <c r="AL25" s="31">
        <v>4.6724438928359397</v>
      </c>
      <c r="AM25" s="31">
        <v>1.5525006295753583</v>
      </c>
      <c r="AN25" s="31">
        <v>2.8418630567929664</v>
      </c>
      <c r="AO25" s="31">
        <v>4.4044535082525202</v>
      </c>
      <c r="AP25" s="31">
        <v>1.3714819365818491</v>
      </c>
      <c r="AQ25" s="31">
        <v>2.4909652528717259</v>
      </c>
      <c r="AR25" s="31">
        <v>2.4306615751829463</v>
      </c>
      <c r="AS25" s="31">
        <v>1.346775808200702</v>
      </c>
      <c r="AT25" s="31">
        <v>1.3192121301874264</v>
      </c>
      <c r="AU25" s="31">
        <v>2.065730334852713</v>
      </c>
      <c r="AV25" s="31">
        <v>5.6296125651153099E-2</v>
      </c>
      <c r="AW25" s="31">
        <v>4.86884819672646E-2</v>
      </c>
      <c r="AX25" s="31">
        <v>7.56524512752762E-2</v>
      </c>
      <c r="AY25" s="31">
        <v>9.7270986451283306E-2</v>
      </c>
      <c r="AZ25" s="31">
        <v>6.2940640965356204E-2</v>
      </c>
      <c r="BA25" s="31">
        <v>6.3399741144360797E-2</v>
      </c>
      <c r="BB25" s="31">
        <v>1.5692828472631899</v>
      </c>
      <c r="BC25" s="31">
        <v>1.56455167421119</v>
      </c>
      <c r="BD25" s="31">
        <v>1.6337694474481399</v>
      </c>
      <c r="BE25" s="31">
        <v>1.54396034095002</v>
      </c>
      <c r="BF25" s="31">
        <v>1.5678950627458801</v>
      </c>
      <c r="BG25" s="31">
        <v>1.66781034470289</v>
      </c>
      <c r="BH25" s="6">
        <v>93.106877522765799</v>
      </c>
      <c r="BI25" s="7">
        <v>91.322314049586794</v>
      </c>
      <c r="BJ25" s="7">
        <v>90.510403215627605</v>
      </c>
      <c r="BK25" s="6">
        <v>46.289869122636901</v>
      </c>
      <c r="BL25" s="7">
        <v>30.021276595744698</v>
      </c>
      <c r="BM25" s="7">
        <v>34.361592333210503</v>
      </c>
      <c r="BN25" s="6">
        <v>2864</v>
      </c>
      <c r="BO25" s="7">
        <v>2834</v>
      </c>
      <c r="BP25" s="7">
        <v>2870</v>
      </c>
      <c r="BQ25" s="6">
        <v>96.537930835540905</v>
      </c>
      <c r="BR25" s="7">
        <v>96.041630869682606</v>
      </c>
      <c r="BS25" s="7">
        <v>95.363512316568105</v>
      </c>
      <c r="BT25" s="6">
        <v>91.567248087083698</v>
      </c>
      <c r="BU25" s="7">
        <v>91.243266286865904</v>
      </c>
      <c r="BV25" s="7">
        <v>94.795462761228293</v>
      </c>
      <c r="BW25" s="6">
        <v>36.619976124154398</v>
      </c>
      <c r="BX25" s="7">
        <v>41.376977152899798</v>
      </c>
      <c r="BY25" s="7">
        <v>42.723910171730502</v>
      </c>
      <c r="BZ25" s="6">
        <v>2835</v>
      </c>
      <c r="CA25" s="7">
        <v>2873</v>
      </c>
      <c r="CB25" s="7">
        <v>2861</v>
      </c>
      <c r="CC25" s="6">
        <v>95.841795935988401</v>
      </c>
      <c r="CD25" s="7">
        <v>95.115099045380305</v>
      </c>
      <c r="CE25" s="7">
        <v>97.331476913589796</v>
      </c>
      <c r="CF25" s="31">
        <f t="shared" si="1"/>
        <v>1.1596742329453515</v>
      </c>
      <c r="CG25" s="31">
        <f t="shared" si="0"/>
        <v>1.4424741801723653</v>
      </c>
      <c r="CH25" s="32">
        <v>2</v>
      </c>
      <c r="CI25" s="33">
        <v>11.490410958904109</v>
      </c>
      <c r="CJ25" s="34">
        <v>39</v>
      </c>
      <c r="CK25" s="35">
        <v>155</v>
      </c>
    </row>
    <row r="26" spans="1:99" x14ac:dyDescent="0.3">
      <c r="A26" s="36" t="s">
        <v>89</v>
      </c>
      <c r="B26" s="1" t="s">
        <v>138</v>
      </c>
      <c r="C26" s="13">
        <v>11.998719332905019</v>
      </c>
      <c r="D26" s="13">
        <v>23.561178527587167</v>
      </c>
      <c r="E26" s="13">
        <v>19.597030860772616</v>
      </c>
      <c r="F26" s="13">
        <v>8.1086749624093155</v>
      </c>
      <c r="G26" s="13">
        <v>10.192171417750192</v>
      </c>
      <c r="H26" s="13">
        <v>23.920215405629541</v>
      </c>
      <c r="I26" s="13">
        <v>10.285956498032261</v>
      </c>
      <c r="J26" s="13">
        <v>13.427960349600445</v>
      </c>
      <c r="K26" s="13">
        <v>21.438972782988834</v>
      </c>
      <c r="L26" s="13">
        <v>58.19272568191532</v>
      </c>
      <c r="M26" s="13">
        <v>121.49481884298689</v>
      </c>
      <c r="N26" s="13">
        <v>309.41310964075296</v>
      </c>
      <c r="O26" s="13">
        <v>4.6589626619933062</v>
      </c>
      <c r="P26" s="13">
        <v>10.229008410374478</v>
      </c>
      <c r="Q26" s="13">
        <v>-45.741506312724852</v>
      </c>
      <c r="R26" s="14">
        <v>0.20663206904614964</v>
      </c>
      <c r="S26" s="14">
        <v>0.33444493744913928</v>
      </c>
      <c r="T26" s="14">
        <v>0.29693672172437585</v>
      </c>
      <c r="U26" s="14">
        <v>0.48834606565747923</v>
      </c>
      <c r="V26" s="14">
        <v>0.43463556148462856</v>
      </c>
      <c r="W26" s="14">
        <v>0.32152920410471891</v>
      </c>
      <c r="X26" s="13">
        <v>308.3215460285171</v>
      </c>
      <c r="Y26" s="13">
        <v>402.50311147927323</v>
      </c>
      <c r="Z26" s="13">
        <v>642.63320917009025</v>
      </c>
      <c r="AA26" s="13">
        <v>1.4751779979274586</v>
      </c>
      <c r="AB26" s="13">
        <v>1.7223928203414796</v>
      </c>
      <c r="AC26" s="13">
        <v>1.0604640789980559</v>
      </c>
      <c r="AD26" s="13">
        <v>2.4913579888635384</v>
      </c>
      <c r="AE26" s="13">
        <v>3.7708132773187457</v>
      </c>
      <c r="AF26" s="13">
        <v>4.1008563772693343</v>
      </c>
      <c r="AG26" s="13">
        <v>1.2496039790245708</v>
      </c>
      <c r="AH26" s="13">
        <v>1.7951350556107246</v>
      </c>
      <c r="AI26" s="13">
        <v>4.1263784576600298</v>
      </c>
      <c r="AJ26" s="13">
        <v>2.1084425822352983</v>
      </c>
      <c r="AK26" s="13">
        <v>2.7222422731739826</v>
      </c>
      <c r="AL26" s="13">
        <v>3.4529951645298396</v>
      </c>
      <c r="AM26" s="13">
        <v>0.93301174404012832</v>
      </c>
      <c r="AN26" s="13">
        <v>1.4099282663423618</v>
      </c>
      <c r="AO26" s="13">
        <v>3.0639566871365478</v>
      </c>
      <c r="AP26" s="13">
        <v>1.0031169514527258</v>
      </c>
      <c r="AQ26" s="13">
        <v>1.8731163450976474</v>
      </c>
      <c r="AR26" s="13">
        <v>1.7180028774752933</v>
      </c>
      <c r="AS26" s="13">
        <v>0.69943757439148602</v>
      </c>
      <c r="AT26" s="13">
        <v>1.0229784371012589</v>
      </c>
      <c r="AU26" s="13">
        <v>2.0581979376042865</v>
      </c>
      <c r="AV26" s="13">
        <v>0.132099542753495</v>
      </c>
      <c r="AW26" s="13">
        <v>0.109318359859455</v>
      </c>
      <c r="AX26" s="13">
        <v>0.153510184416248</v>
      </c>
      <c r="AY26" s="13">
        <v>0.178879255891813</v>
      </c>
      <c r="AZ26" s="13">
        <v>0.13595983841749601</v>
      </c>
      <c r="BA26" s="13">
        <v>0.129094588709768</v>
      </c>
      <c r="BB26" s="13">
        <v>1.47994091520171</v>
      </c>
      <c r="BC26" s="13">
        <v>1.51927805812397</v>
      </c>
      <c r="BD26" s="13">
        <v>1.41608732130945</v>
      </c>
      <c r="BE26" s="13">
        <v>1.3878867086553599</v>
      </c>
      <c r="BF26" s="13">
        <v>1.4990205586138601</v>
      </c>
      <c r="BG26" s="13">
        <v>1.4924248492009999</v>
      </c>
      <c r="BH26" s="5">
        <v>77.900981916212402</v>
      </c>
      <c r="BI26" s="5">
        <v>85.920426162972205</v>
      </c>
      <c r="BJ26" s="5">
        <v>82.662484393862798</v>
      </c>
      <c r="BK26" s="4">
        <v>26.226233852269001</v>
      </c>
      <c r="BL26" s="5">
        <v>29.741641337386</v>
      </c>
      <c r="BM26" s="5">
        <v>36.448589626933597</v>
      </c>
      <c r="BN26" s="5">
        <v>2851</v>
      </c>
      <c r="BO26" s="5">
        <v>2863</v>
      </c>
      <c r="BP26" s="5">
        <v>2784</v>
      </c>
      <c r="BQ26" s="4">
        <v>88.974811767445502</v>
      </c>
      <c r="BR26" s="5">
        <v>91.840504964975807</v>
      </c>
      <c r="BS26" s="5">
        <v>90.6697725041832</v>
      </c>
      <c r="BT26" s="5">
        <v>77.922711567375998</v>
      </c>
      <c r="BU26" s="5">
        <v>83.141005923618096</v>
      </c>
      <c r="BV26" s="5">
        <v>81.047428295166398</v>
      </c>
      <c r="BW26" s="5">
        <v>28.405444646098001</v>
      </c>
      <c r="BX26" s="5">
        <v>32.055087987758199</v>
      </c>
      <c r="BY26" s="5">
        <v>31.460743010340899</v>
      </c>
      <c r="BZ26" s="5">
        <v>2834</v>
      </c>
      <c r="CA26" s="5">
        <v>2839</v>
      </c>
      <c r="CB26" s="5">
        <v>2847</v>
      </c>
      <c r="CC26" s="6">
        <v>88.122321336521097</v>
      </c>
      <c r="CD26" s="7">
        <v>91.153880023091304</v>
      </c>
      <c r="CE26" s="7">
        <v>89.524893701898307</v>
      </c>
      <c r="CF26" s="13">
        <f t="shared" si="1"/>
        <v>1.3054654034526836</v>
      </c>
      <c r="CG26" s="13">
        <f t="shared" si="0"/>
        <v>2.0842954942586212</v>
      </c>
      <c r="CH26" s="37">
        <v>1</v>
      </c>
      <c r="CI26" s="38">
        <v>11.849315068493151</v>
      </c>
      <c r="CJ26" s="39">
        <v>29.611705363504399</v>
      </c>
      <c r="CK26" s="37">
        <v>147</v>
      </c>
      <c r="CL26" s="56">
        <v>79</v>
      </c>
      <c r="CM26" s="57">
        <v>72</v>
      </c>
      <c r="CN26" s="57">
        <v>69</v>
      </c>
      <c r="CO26" s="57">
        <v>73</v>
      </c>
      <c r="CP26" s="57">
        <v>83</v>
      </c>
      <c r="CQ26" s="57">
        <v>74</v>
      </c>
      <c r="CR26" s="58">
        <v>77</v>
      </c>
      <c r="CS26" s="59">
        <v>6</v>
      </c>
      <c r="CT26" s="60">
        <v>2</v>
      </c>
      <c r="CU26" s="60">
        <v>8</v>
      </c>
    </row>
    <row r="27" spans="1:99" x14ac:dyDescent="0.3">
      <c r="A27" s="12" t="s">
        <v>90</v>
      </c>
      <c r="B27" s="1" t="s">
        <v>138</v>
      </c>
      <c r="C27" s="13">
        <v>22.185043519618731</v>
      </c>
      <c r="D27" s="13">
        <v>20.958691887994764</v>
      </c>
      <c r="E27" s="13">
        <v>57.228422026047866</v>
      </c>
      <c r="F27" s="13">
        <v>11.53275592816669</v>
      </c>
      <c r="G27" s="13">
        <v>12.006286085644319</v>
      </c>
      <c r="H27" s="13">
        <v>24.626491656743767</v>
      </c>
      <c r="I27" s="13">
        <v>8.9191780877065483</v>
      </c>
      <c r="J27" s="13">
        <v>8.777416815368035</v>
      </c>
      <c r="K27" s="13">
        <v>19.81454622328048</v>
      </c>
      <c r="L27" s="13">
        <v>124.81661081668274</v>
      </c>
      <c r="M27" s="13">
        <v>185.03271948127181</v>
      </c>
      <c r="N27" s="13">
        <v>1005.6594867938406</v>
      </c>
      <c r="O27" s="13">
        <v>29.570429106079878</v>
      </c>
      <c r="P27" s="13">
        <v>1.9117995610823395</v>
      </c>
      <c r="Q27" s="13">
        <v>-5.3582445115082971</v>
      </c>
      <c r="R27" s="14">
        <v>0.15066610933947372</v>
      </c>
      <c r="S27" s="14">
        <v>0.16469146131975196</v>
      </c>
      <c r="T27" s="14">
        <v>0.21759692037437764</v>
      </c>
      <c r="U27" s="14">
        <v>9.7720575825940001E-2</v>
      </c>
      <c r="V27" s="14">
        <v>0.39456554164913815</v>
      </c>
      <c r="W27" s="14">
        <v>0.30925179159310046</v>
      </c>
      <c r="X27" s="13">
        <v>267.35236317900387</v>
      </c>
      <c r="Y27" s="13">
        <v>263.10306904065692</v>
      </c>
      <c r="Z27" s="13">
        <v>593.94102304283263</v>
      </c>
      <c r="AA27" s="13">
        <v>1.6032199641459093</v>
      </c>
      <c r="AB27" s="13">
        <v>1.1940579651100558</v>
      </c>
      <c r="AC27" s="13">
        <v>1.5385210323407623</v>
      </c>
      <c r="AD27" s="13">
        <v>2.9436170119676452</v>
      </c>
      <c r="AE27" s="13">
        <v>4.0671988047818761</v>
      </c>
      <c r="AF27" s="13">
        <v>11.288265810488099</v>
      </c>
      <c r="AG27" s="13">
        <v>2.3986828297685348</v>
      </c>
      <c r="AH27" s="13">
        <v>2.4171398950193463</v>
      </c>
      <c r="AI27" s="13">
        <v>4.8103586923899568</v>
      </c>
      <c r="AJ27" s="13">
        <v>2.7497649603657748</v>
      </c>
      <c r="AK27" s="13">
        <v>3.7635691034125105</v>
      </c>
      <c r="AL27" s="13">
        <v>9.4040493393274716</v>
      </c>
      <c r="AM27" s="13">
        <v>2.0866613962560154</v>
      </c>
      <c r="AN27" s="13">
        <v>1.7013033614480779</v>
      </c>
      <c r="AO27" s="13">
        <v>3.4727193621282142</v>
      </c>
      <c r="AP27" s="13">
        <v>0.92506642274279527</v>
      </c>
      <c r="AQ27" s="13">
        <v>0.84266254417625031</v>
      </c>
      <c r="AR27" s="13">
        <v>6.4299256575301795</v>
      </c>
      <c r="AS27" s="13">
        <v>0.72568413414142907</v>
      </c>
      <c r="AT27" s="13">
        <v>1.7662990334039326</v>
      </c>
      <c r="AU27" s="13">
        <v>2.7804820877092102</v>
      </c>
      <c r="AV27" s="13">
        <v>8.2506152594769899E-2</v>
      </c>
      <c r="AW27" s="13">
        <v>5.3842411575102701E-2</v>
      </c>
      <c r="AX27" s="13">
        <v>4.1324705356166502E-2</v>
      </c>
      <c r="AY27" s="13">
        <v>6.8863434976848603E-2</v>
      </c>
      <c r="AZ27" s="13">
        <v>8.1307669357948795E-2</v>
      </c>
      <c r="BA27" s="13">
        <v>7.59960210131706E-2</v>
      </c>
      <c r="BB27" s="13">
        <v>1.55145546006771</v>
      </c>
      <c r="BC27" s="13">
        <v>1.7679657052884199</v>
      </c>
      <c r="BD27" s="13">
        <v>1.6972500771085699</v>
      </c>
      <c r="BE27" s="13">
        <v>1.61994754740752</v>
      </c>
      <c r="BF27" s="13">
        <v>1.6364319401330301</v>
      </c>
      <c r="BG27" s="13">
        <v>1.6852397446191401</v>
      </c>
      <c r="BH27" s="7">
        <v>84.119619230078399</v>
      </c>
      <c r="BI27" s="7">
        <v>92.930365857324702</v>
      </c>
      <c r="BJ27" s="7">
        <v>90.909921339761496</v>
      </c>
      <c r="BK27" s="6">
        <v>34.103155339805802</v>
      </c>
      <c r="BL27" s="7">
        <v>49.513080619327297</v>
      </c>
      <c r="BM27" s="7">
        <v>42.5910603899192</v>
      </c>
      <c r="BN27" s="7">
        <v>2831</v>
      </c>
      <c r="BO27" s="7">
        <v>2825</v>
      </c>
      <c r="BP27" s="7">
        <v>2807</v>
      </c>
      <c r="BQ27" s="6">
        <v>91.378377314678204</v>
      </c>
      <c r="BR27" s="7">
        <v>96.809971740805906</v>
      </c>
      <c r="BS27" s="7">
        <v>95.267640024417304</v>
      </c>
      <c r="BT27" s="7">
        <v>90.493590745662004</v>
      </c>
      <c r="BU27" s="7">
        <v>94.992576861437996</v>
      </c>
      <c r="BV27" s="7">
        <v>88.427802543784495</v>
      </c>
      <c r="BW27" s="7">
        <v>41.759242560865601</v>
      </c>
      <c r="BX27" s="7">
        <v>51.6939539860888</v>
      </c>
      <c r="BY27" s="7">
        <v>35.652950310559</v>
      </c>
      <c r="BZ27" s="7">
        <v>2861</v>
      </c>
      <c r="CA27" s="7">
        <v>2852</v>
      </c>
      <c r="CB27" s="7">
        <v>2882</v>
      </c>
      <c r="CC27" s="6">
        <v>95.843249857876501</v>
      </c>
      <c r="CD27" s="7">
        <v>97.3525119866583</v>
      </c>
      <c r="CE27" s="7">
        <v>94.467842643811906</v>
      </c>
      <c r="CF27" s="13">
        <f t="shared" si="1"/>
        <v>0.98410601616600679</v>
      </c>
      <c r="CG27" s="13">
        <f t="shared" si="0"/>
        <v>2.2215663852021521</v>
      </c>
      <c r="CH27" s="40">
        <v>1</v>
      </c>
      <c r="CI27" s="38">
        <v>11.227397260273973</v>
      </c>
      <c r="CJ27" s="41">
        <v>23.782562734611801</v>
      </c>
      <c r="CK27" s="40">
        <v>135</v>
      </c>
      <c r="CL27" s="56">
        <v>71</v>
      </c>
      <c r="CM27" s="57">
        <v>78</v>
      </c>
      <c r="CN27" s="57">
        <v>90</v>
      </c>
      <c r="CO27" s="57">
        <v>78</v>
      </c>
      <c r="CP27" s="57">
        <v>88</v>
      </c>
      <c r="CQ27" s="57">
        <v>86</v>
      </c>
      <c r="CR27" s="58">
        <v>87</v>
      </c>
      <c r="CS27" s="59">
        <v>8</v>
      </c>
      <c r="CT27" s="60">
        <v>1</v>
      </c>
      <c r="CU27" s="60">
        <v>9</v>
      </c>
    </row>
    <row r="28" spans="1:99" x14ac:dyDescent="0.3">
      <c r="A28" s="12" t="s">
        <v>91</v>
      </c>
      <c r="B28" s="1" t="s">
        <v>138</v>
      </c>
      <c r="C28" s="13">
        <v>36.866532683427849</v>
      </c>
      <c r="D28" s="13">
        <v>41.297677028191544</v>
      </c>
      <c r="E28" s="13">
        <v>34.180770192642143</v>
      </c>
      <c r="F28" s="13">
        <v>31.448518162856086</v>
      </c>
      <c r="G28" s="13">
        <v>28.374579284033672</v>
      </c>
      <c r="H28" s="13">
        <v>35.005633416579897</v>
      </c>
      <c r="I28" s="13">
        <v>18.43933531013889</v>
      </c>
      <c r="J28" s="13">
        <v>19.326541777712965</v>
      </c>
      <c r="K28" s="13">
        <v>23.598274431093341</v>
      </c>
      <c r="L28" s="13">
        <v>917.35307248918105</v>
      </c>
      <c r="M28" s="13">
        <v>691.99677760584336</v>
      </c>
      <c r="N28" s="13">
        <v>858.64868836397011</v>
      </c>
      <c r="O28" s="13">
        <v>-46.807142539469197</v>
      </c>
      <c r="P28" s="13">
        <v>-31.795551411822849</v>
      </c>
      <c r="Q28" s="13">
        <v>-28.493136971764763</v>
      </c>
      <c r="R28" s="14">
        <v>0.28980518010570377</v>
      </c>
      <c r="S28" s="14">
        <v>0.13374397792496773</v>
      </c>
      <c r="T28" s="14">
        <v>0.31389151320061287</v>
      </c>
      <c r="U28" s="14">
        <v>0.12281181263724143</v>
      </c>
      <c r="V28" s="14">
        <v>9.1286821028103302E-2</v>
      </c>
      <c r="W28" s="14">
        <v>0.23796651627133786</v>
      </c>
      <c r="X28" s="13">
        <v>552.71907592141338</v>
      </c>
      <c r="Y28" s="13">
        <v>579.31308978694619</v>
      </c>
      <c r="Z28" s="13">
        <v>707.35827607202327</v>
      </c>
      <c r="AA28" s="13">
        <v>1.8042069541772399</v>
      </c>
      <c r="AB28" s="13">
        <v>1.6482464763580944</v>
      </c>
      <c r="AC28" s="13">
        <v>1.30484243809767</v>
      </c>
      <c r="AD28" s="13">
        <v>7.062617238745581</v>
      </c>
      <c r="AE28" s="13">
        <v>7.0628795517509424</v>
      </c>
      <c r="AF28" s="13">
        <v>6.9252100191123152</v>
      </c>
      <c r="AG28" s="13">
        <v>7.1898636653623891</v>
      </c>
      <c r="AH28" s="13">
        <v>5.7371229979564644</v>
      </c>
      <c r="AI28" s="13">
        <v>6.6012821729365081</v>
      </c>
      <c r="AJ28" s="13">
        <v>5.623337570600448</v>
      </c>
      <c r="AK28" s="13">
        <v>5.8736693210183004</v>
      </c>
      <c r="AL28" s="13">
        <v>5.1260738608877681</v>
      </c>
      <c r="AM28" s="13">
        <v>6.8973058311027078</v>
      </c>
      <c r="AN28" s="13">
        <v>5.4312841241964431</v>
      </c>
      <c r="AO28" s="13">
        <v>5.6161331586609062</v>
      </c>
      <c r="AP28" s="13">
        <v>3.1766982598105944</v>
      </c>
      <c r="AQ28" s="13">
        <v>2.4041736280796049</v>
      </c>
      <c r="AR28" s="13">
        <v>2.9447470832566753</v>
      </c>
      <c r="AS28" s="13">
        <v>1.3519090612842939</v>
      </c>
      <c r="AT28" s="13">
        <v>1.4078738787220684</v>
      </c>
      <c r="AU28" s="13">
        <v>2.1688681521951549</v>
      </c>
      <c r="AV28" s="13">
        <v>7.7782962398598998E-2</v>
      </c>
      <c r="AW28" s="13">
        <v>7.9321024545351101E-2</v>
      </c>
      <c r="AX28" s="13">
        <v>9.4456032558776201E-2</v>
      </c>
      <c r="AY28" s="13">
        <v>4.0316358734409301E-2</v>
      </c>
      <c r="AZ28" s="13">
        <v>5.8058304842728101E-2</v>
      </c>
      <c r="BA28" s="13">
        <v>7.1012111724468294E-2</v>
      </c>
      <c r="BB28" s="13">
        <v>1.62625092129668</v>
      </c>
      <c r="BC28" s="13">
        <v>1.54573182137382</v>
      </c>
      <c r="BD28" s="13">
        <v>1.5797817066373401</v>
      </c>
      <c r="BE28" s="13">
        <v>1.5962815444224101</v>
      </c>
      <c r="BF28" s="13">
        <v>1.5832689593884399</v>
      </c>
      <c r="BG28" s="13">
        <v>1.61676844200959</v>
      </c>
      <c r="BH28" s="7">
        <v>88.676895535167006</v>
      </c>
      <c r="BI28" s="7">
        <v>87.769514585495202</v>
      </c>
      <c r="BJ28" s="7">
        <v>87.261353881976902</v>
      </c>
      <c r="BK28" s="6">
        <v>30.906408952187199</v>
      </c>
      <c r="BL28" s="7">
        <v>31.772869565217398</v>
      </c>
      <c r="BM28" s="7">
        <v>29.949881476464601</v>
      </c>
      <c r="BN28" s="7">
        <v>2867</v>
      </c>
      <c r="BO28" s="7">
        <v>2885</v>
      </c>
      <c r="BP28" s="7">
        <v>2847</v>
      </c>
      <c r="BQ28" s="6">
        <v>94.687425034783899</v>
      </c>
      <c r="BR28" s="7">
        <v>93.989708014670299</v>
      </c>
      <c r="BS28" s="7">
        <v>93.830818179164595</v>
      </c>
      <c r="BT28" s="7">
        <v>92.148927960106505</v>
      </c>
      <c r="BU28" s="7">
        <v>90.543235600535795</v>
      </c>
      <c r="BV28" s="7">
        <v>94.569178806451305</v>
      </c>
      <c r="BW28" s="7">
        <v>37.313301282051299</v>
      </c>
      <c r="BX28" s="7">
        <v>36.855411954765799</v>
      </c>
      <c r="BY28" s="7">
        <v>46.035482258870601</v>
      </c>
      <c r="BZ28" s="7">
        <v>2843</v>
      </c>
      <c r="CA28" s="7">
        <v>2839</v>
      </c>
      <c r="CB28" s="7">
        <v>2791</v>
      </c>
      <c r="CC28" s="6">
        <v>96.964611526865795</v>
      </c>
      <c r="CD28" s="7">
        <v>95.8793601095837</v>
      </c>
      <c r="CE28" s="7">
        <v>97.509184943777001</v>
      </c>
      <c r="CF28" s="13">
        <f t="shared" si="1"/>
        <v>1.0481148833540783</v>
      </c>
      <c r="CG28" s="13">
        <f t="shared" si="0"/>
        <v>1.2797790177457107</v>
      </c>
      <c r="CH28" s="40">
        <v>2</v>
      </c>
      <c r="CI28" s="38">
        <v>7.1013698630136988</v>
      </c>
      <c r="CJ28" s="41">
        <v>21.722807424400202</v>
      </c>
      <c r="CK28" s="40">
        <v>128</v>
      </c>
      <c r="CL28" s="56">
        <v>53</v>
      </c>
      <c r="CM28" s="57">
        <v>69</v>
      </c>
      <c r="CN28" s="57">
        <v>59</v>
      </c>
      <c r="CO28" s="57">
        <v>58</v>
      </c>
      <c r="CP28" s="57">
        <v>52</v>
      </c>
      <c r="CQ28" s="57">
        <v>61</v>
      </c>
      <c r="CR28" s="58">
        <v>60</v>
      </c>
      <c r="CS28" s="59">
        <v>7</v>
      </c>
      <c r="CT28" s="60">
        <v>4</v>
      </c>
      <c r="CU28" s="60">
        <v>11</v>
      </c>
    </row>
    <row r="29" spans="1:99" x14ac:dyDescent="0.3">
      <c r="A29" s="12" t="s">
        <v>92</v>
      </c>
      <c r="B29" s="1" t="s">
        <v>138</v>
      </c>
      <c r="C29" s="13">
        <v>22.627944734711889</v>
      </c>
      <c r="D29" s="13">
        <v>41.252945100829336</v>
      </c>
      <c r="E29" s="13">
        <v>62.564639345787263</v>
      </c>
      <c r="F29" s="13">
        <v>37.284229220036785</v>
      </c>
      <c r="G29" s="13">
        <v>57.531882225789914</v>
      </c>
      <c r="H29" s="13">
        <v>58.116407443854293</v>
      </c>
      <c r="I29" s="13">
        <v>15.058792333913214</v>
      </c>
      <c r="J29" s="13">
        <v>23.101515990646995</v>
      </c>
      <c r="K29" s="13">
        <v>36.992340726463702</v>
      </c>
      <c r="L29" s="13">
        <v>1063.7642353336016</v>
      </c>
      <c r="M29" s="13">
        <v>1928.0721991476671</v>
      </c>
      <c r="N29" s="13">
        <v>2542.9024005253582</v>
      </c>
      <c r="O29" s="13">
        <v>-88.927638368829918</v>
      </c>
      <c r="P29" s="13">
        <v>-79.527920778624832</v>
      </c>
      <c r="Q29" s="13">
        <v>14.135650804554265</v>
      </c>
      <c r="R29" s="14">
        <v>0.13370149382857516</v>
      </c>
      <c r="S29" s="14">
        <v>0.34489456483724162</v>
      </c>
      <c r="T29" s="14">
        <v>0.23870513780419744</v>
      </c>
      <c r="U29" s="14">
        <v>7.3507551571010188E-2</v>
      </c>
      <c r="V29" s="14">
        <v>0.13229961653041961</v>
      </c>
      <c r="W29" s="14">
        <v>0.3054847869879484</v>
      </c>
      <c r="X29" s="13">
        <v>451.38730020904859</v>
      </c>
      <c r="Y29" s="13">
        <v>692.46794181964356</v>
      </c>
      <c r="Z29" s="13">
        <v>1108.8454132757502</v>
      </c>
      <c r="AA29" s="13">
        <v>1.2386664951636708</v>
      </c>
      <c r="AB29" s="13">
        <v>1.0992450788058536</v>
      </c>
      <c r="AC29" s="13">
        <v>1.3684591076688404</v>
      </c>
      <c r="AD29" s="13">
        <v>5.2492050161882897</v>
      </c>
      <c r="AE29" s="13">
        <v>7.7558656388243037</v>
      </c>
      <c r="AF29" s="13">
        <v>13.37408608714029</v>
      </c>
      <c r="AG29" s="13">
        <v>10.764632108885557</v>
      </c>
      <c r="AH29" s="13">
        <v>13.545665205241701</v>
      </c>
      <c r="AI29" s="13">
        <v>10.206563239263119</v>
      </c>
      <c r="AJ29" s="13">
        <v>4.5867601988334563</v>
      </c>
      <c r="AK29" s="13">
        <v>6.7321476078792415</v>
      </c>
      <c r="AL29" s="13">
        <v>9.6964241470467236</v>
      </c>
      <c r="AM29" s="13">
        <v>10.369907237526224</v>
      </c>
      <c r="AN29" s="13">
        <v>12.074194448824521</v>
      </c>
      <c r="AO29" s="13">
        <v>6.3968237156929266</v>
      </c>
      <c r="AP29" s="13">
        <v>1.5613115277299827</v>
      </c>
      <c r="AQ29" s="13">
        <v>3.0056658704933819</v>
      </c>
      <c r="AR29" s="13">
        <v>6.0707797861605481</v>
      </c>
      <c r="AS29" s="13">
        <v>1.2754638641743783</v>
      </c>
      <c r="AT29" s="13">
        <v>2.8922491475640744</v>
      </c>
      <c r="AU29" s="13">
        <v>6.0427069942440035</v>
      </c>
      <c r="AV29" s="13">
        <v>7.9397242148897096E-2</v>
      </c>
      <c r="AW29" s="13">
        <v>6.9676147040097294E-2</v>
      </c>
      <c r="AX29" s="13">
        <v>7.9705406366732498E-2</v>
      </c>
      <c r="AY29" s="13">
        <v>2.4542771809862599E-2</v>
      </c>
      <c r="AZ29" s="13">
        <v>3.17375033416403E-2</v>
      </c>
      <c r="BA29" s="13">
        <v>6.7085318079066203E-2</v>
      </c>
      <c r="BB29" s="13">
        <v>1.5902677429785199</v>
      </c>
      <c r="BC29" s="13">
        <v>1.5232556654523799</v>
      </c>
      <c r="BD29" s="13">
        <v>1.6871330633968</v>
      </c>
      <c r="BE29" s="13">
        <v>1.70230296511434</v>
      </c>
      <c r="BF29" s="13">
        <v>1.82893669733788</v>
      </c>
      <c r="BG29" s="13">
        <v>1.6943173503806801</v>
      </c>
      <c r="BH29" s="7">
        <v>87.384522491697695</v>
      </c>
      <c r="BI29" s="7">
        <v>91.455047398656205</v>
      </c>
      <c r="BJ29" s="7">
        <v>90.4557656984841</v>
      </c>
      <c r="BK29" s="6">
        <v>30.543088287020801</v>
      </c>
      <c r="BL29" s="7">
        <v>32.192568774562297</v>
      </c>
      <c r="BM29" s="7">
        <v>31.526204713331001</v>
      </c>
      <c r="BN29" s="7">
        <v>2819</v>
      </c>
      <c r="BO29" s="7">
        <v>2807</v>
      </c>
      <c r="BP29" s="7">
        <v>2815</v>
      </c>
      <c r="BQ29" s="6">
        <v>94.354534629886899</v>
      </c>
      <c r="BR29" s="7">
        <v>95.899629740818597</v>
      </c>
      <c r="BS29" s="7">
        <v>95.937568412044499</v>
      </c>
      <c r="BT29" s="7">
        <v>94.671390049172501</v>
      </c>
      <c r="BU29" s="7">
        <v>98.096046191574999</v>
      </c>
      <c r="BV29" s="7">
        <v>94.186845100270801</v>
      </c>
      <c r="BW29" s="7">
        <v>39.807025344597598</v>
      </c>
      <c r="BX29" s="7">
        <v>52.579589572933997</v>
      </c>
      <c r="BY29" s="7">
        <v>35.767138599105799</v>
      </c>
      <c r="BZ29" s="7">
        <v>2750</v>
      </c>
      <c r="CA29" s="7">
        <v>2780</v>
      </c>
      <c r="CB29" s="7">
        <v>2855</v>
      </c>
      <c r="CC29" s="6">
        <v>98.438094443952195</v>
      </c>
      <c r="CD29" s="7">
        <v>99.299204847421507</v>
      </c>
      <c r="CE29" s="7">
        <v>97.675419924142702</v>
      </c>
      <c r="CF29" s="13">
        <f t="shared" si="1"/>
        <v>1.534088224234365</v>
      </c>
      <c r="CG29" s="13">
        <f t="shared" si="0"/>
        <v>2.4565277152507758</v>
      </c>
      <c r="CH29" s="40">
        <v>1</v>
      </c>
      <c r="CI29" s="38">
        <v>11.443835616438356</v>
      </c>
      <c r="CJ29" s="41">
        <v>39.080544315917898</v>
      </c>
      <c r="CK29" s="40">
        <v>154</v>
      </c>
      <c r="CL29" s="61">
        <v>82</v>
      </c>
      <c r="CM29" s="62">
        <v>85</v>
      </c>
      <c r="CN29" s="62">
        <v>90</v>
      </c>
      <c r="CO29" s="62">
        <v>83</v>
      </c>
      <c r="CP29" s="62">
        <v>90</v>
      </c>
      <c r="CQ29" s="62">
        <v>90</v>
      </c>
      <c r="CR29" s="63">
        <v>90</v>
      </c>
      <c r="CS29" s="64">
        <v>4</v>
      </c>
      <c r="CT29" s="65">
        <v>0</v>
      </c>
      <c r="CU29" s="65">
        <v>4</v>
      </c>
    </row>
    <row r="30" spans="1:99" x14ac:dyDescent="0.3">
      <c r="A30" s="12" t="s">
        <v>93</v>
      </c>
      <c r="B30" s="1" t="s">
        <v>138</v>
      </c>
      <c r="C30" s="13">
        <v>43.259938711615462</v>
      </c>
      <c r="D30" s="13">
        <v>27.978715466390689</v>
      </c>
      <c r="E30" s="13">
        <v>58.088778470464604</v>
      </c>
      <c r="F30" s="13">
        <v>11.026298345836828</v>
      </c>
      <c r="G30" s="13">
        <v>42.258640150186636</v>
      </c>
      <c r="H30" s="13">
        <v>40.813736615695547</v>
      </c>
      <c r="I30" s="13">
        <v>11.057134191762096</v>
      </c>
      <c r="J30" s="13">
        <v>18.723768580381162</v>
      </c>
      <c r="K30" s="13">
        <v>31.503527755157275</v>
      </c>
      <c r="L30" s="13">
        <v>384.89334841955201</v>
      </c>
      <c r="M30" s="13">
        <v>356.61522445388192</v>
      </c>
      <c r="N30" s="13">
        <v>2502.4732700271229</v>
      </c>
      <c r="O30" s="13">
        <v>-1.1289844924935899</v>
      </c>
      <c r="P30" s="13">
        <v>-43.367030840870989</v>
      </c>
      <c r="Q30" s="13">
        <v>-17.957756962637493</v>
      </c>
      <c r="R30" s="14">
        <v>8.5821491659965915E-2</v>
      </c>
      <c r="S30" s="14">
        <v>0.14804209468671559</v>
      </c>
      <c r="T30" s="14">
        <v>0.10162897756739607</v>
      </c>
      <c r="U30" s="14">
        <v>0.10560758715504619</v>
      </c>
      <c r="V30" s="14">
        <v>0.69686755350421647</v>
      </c>
      <c r="W30" s="14">
        <v>0.10808871167950189</v>
      </c>
      <c r="X30" s="13">
        <v>331.43759739806876</v>
      </c>
      <c r="Y30" s="13">
        <v>561.24496319692548</v>
      </c>
      <c r="Z30" s="13">
        <v>944.3182444608392</v>
      </c>
      <c r="AA30" s="13">
        <v>1.2200223384441897</v>
      </c>
      <c r="AB30" s="13">
        <v>0.95390384264028727</v>
      </c>
      <c r="AC30" s="13">
        <v>1.3115152975656119</v>
      </c>
      <c r="AD30" s="13">
        <v>9.8609774902370173</v>
      </c>
      <c r="AE30" s="13">
        <v>4.489680419915608</v>
      </c>
      <c r="AF30" s="13">
        <v>15.959880566367149</v>
      </c>
      <c r="AG30" s="13">
        <v>2.0807462902705387</v>
      </c>
      <c r="AH30" s="13">
        <v>4.4146035353855639</v>
      </c>
      <c r="AI30" s="13">
        <v>9.1798501590109787</v>
      </c>
      <c r="AJ30" s="13">
        <v>9.6159665962018721</v>
      </c>
      <c r="AK30" s="13">
        <v>4.1753074242934636</v>
      </c>
      <c r="AL30" s="13">
        <v>14.295524522123495</v>
      </c>
      <c r="AM30" s="13">
        <v>1.6494135972550419</v>
      </c>
      <c r="AN30" s="13">
        <v>2.7827547680569364</v>
      </c>
      <c r="AO30" s="13">
        <v>7.5772521963380752</v>
      </c>
      <c r="AP30" s="13">
        <v>0.84636483979822275</v>
      </c>
      <c r="AQ30" s="13">
        <v>1.4834709975285749</v>
      </c>
      <c r="AR30" s="13">
        <v>3.8431036821637621</v>
      </c>
      <c r="AS30" s="13">
        <v>0.84890134724702138</v>
      </c>
      <c r="AT30" s="13">
        <v>3.0587553796084626</v>
      </c>
      <c r="AU30" s="13">
        <v>3.5245798145595226</v>
      </c>
      <c r="AV30" s="13">
        <v>1.7566504974635699E-2</v>
      </c>
      <c r="AW30" s="13">
        <v>9.5203646183035201E-2</v>
      </c>
      <c r="AX30" s="13">
        <v>5.4760748048061102E-2</v>
      </c>
      <c r="AY30" s="13">
        <v>0.10796674790538099</v>
      </c>
      <c r="AZ30" s="13">
        <v>8.1281235497534896E-2</v>
      </c>
      <c r="BA30" s="13">
        <v>6.71040876890968E-2</v>
      </c>
      <c r="BB30" s="13">
        <v>1.6376392846558701</v>
      </c>
      <c r="BC30" s="13">
        <v>1.4478045630131999</v>
      </c>
      <c r="BD30" s="13">
        <v>1.65195348879198</v>
      </c>
      <c r="BE30" s="13">
        <v>1.41021540953042</v>
      </c>
      <c r="BF30" s="13">
        <v>1.3360069663010601</v>
      </c>
      <c r="BG30" s="13">
        <v>1.5943494993488101</v>
      </c>
      <c r="BH30" s="7">
        <v>86.212917968009407</v>
      </c>
      <c r="BI30" s="7">
        <v>78.619217221905203</v>
      </c>
      <c r="BJ30" s="7">
        <v>85.101973819196502</v>
      </c>
      <c r="BK30" s="6">
        <v>39.398084815321504</v>
      </c>
      <c r="BL30" s="7">
        <v>34.075479744136501</v>
      </c>
      <c r="BM30" s="7">
        <v>30.644255633542699</v>
      </c>
      <c r="BN30" s="7">
        <v>2831</v>
      </c>
      <c r="BO30" s="7">
        <v>2851</v>
      </c>
      <c r="BP30" s="7">
        <v>2792</v>
      </c>
      <c r="BQ30" s="6">
        <v>92.295809431975798</v>
      </c>
      <c r="BR30" s="7">
        <v>88.652681828766603</v>
      </c>
      <c r="BS30" s="7">
        <v>93.486560974992997</v>
      </c>
      <c r="BT30" s="7">
        <v>65.868911263154899</v>
      </c>
      <c r="BU30" s="7">
        <v>88.862146561001893</v>
      </c>
      <c r="BV30" s="7">
        <v>74.841699595102199</v>
      </c>
      <c r="BW30" s="7">
        <v>25.444281524926701</v>
      </c>
      <c r="BX30" s="7">
        <v>35.857086458744597</v>
      </c>
      <c r="BY30" s="7">
        <v>24.3907790143084</v>
      </c>
      <c r="BZ30" s="7">
        <v>2903</v>
      </c>
      <c r="CA30" s="7">
        <v>2859</v>
      </c>
      <c r="CB30" s="7">
        <v>2863</v>
      </c>
      <c r="CC30" s="6">
        <v>78.374722692851293</v>
      </c>
      <c r="CD30" s="7">
        <v>92.774025472790399</v>
      </c>
      <c r="CE30" s="7">
        <v>86.422681305146895</v>
      </c>
      <c r="CF30" s="13">
        <f t="shared" si="1"/>
        <v>1.6933654105718416</v>
      </c>
      <c r="CG30" s="13">
        <f t="shared" si="0"/>
        <v>2.8491584897855695</v>
      </c>
      <c r="CH30" s="42">
        <v>1</v>
      </c>
      <c r="CI30" s="38">
        <v>9.7534246575342465</v>
      </c>
      <c r="CJ30" s="43">
        <v>30.020825041120101</v>
      </c>
      <c r="CK30" s="42">
        <v>132</v>
      </c>
      <c r="CL30" s="61">
        <v>54</v>
      </c>
      <c r="CM30" s="62">
        <v>72</v>
      </c>
      <c r="CN30" s="62">
        <v>62</v>
      </c>
      <c r="CO30" s="62">
        <v>64</v>
      </c>
      <c r="CP30" s="62">
        <v>59</v>
      </c>
      <c r="CQ30" s="62">
        <v>66</v>
      </c>
      <c r="CR30" s="63">
        <v>64</v>
      </c>
      <c r="CS30" s="64">
        <v>13</v>
      </c>
      <c r="CT30" s="65">
        <v>2</v>
      </c>
      <c r="CU30" s="65">
        <v>15</v>
      </c>
    </row>
    <row r="31" spans="1:99" ht="15" thickBot="1" x14ac:dyDescent="0.35">
      <c r="A31" s="12" t="s">
        <v>94</v>
      </c>
      <c r="B31" s="1" t="s">
        <v>138</v>
      </c>
      <c r="C31" s="13">
        <v>22.418409638775653</v>
      </c>
      <c r="D31" s="13">
        <v>22.571780405685992</v>
      </c>
      <c r="E31" s="13">
        <v>28.081195299299413</v>
      </c>
      <c r="F31" s="13">
        <v>20.866533229027102</v>
      </c>
      <c r="G31" s="13">
        <v>13.564106846303542</v>
      </c>
      <c r="H31" s="13">
        <v>24.89977651979645</v>
      </c>
      <c r="I31" s="13">
        <v>10.587318874823792</v>
      </c>
      <c r="J31" s="13">
        <v>13.178119474836134</v>
      </c>
      <c r="K31" s="13">
        <v>19.521429488507692</v>
      </c>
      <c r="L31" s="13">
        <v>272.9231295637104</v>
      </c>
      <c r="M31" s="13">
        <v>220.41917950646987</v>
      </c>
      <c r="N31" s="13">
        <v>521.19530288453234</v>
      </c>
      <c r="O31" s="13">
        <v>8.6722073902812973</v>
      </c>
      <c r="P31" s="13">
        <v>14.248585701533129</v>
      </c>
      <c r="Q31" s="13">
        <v>3.458471059436921</v>
      </c>
      <c r="R31" s="14">
        <v>0.15242007901743568</v>
      </c>
      <c r="S31" s="14">
        <v>0.28294122118473575</v>
      </c>
      <c r="T31" s="14">
        <v>0.23628461107015911</v>
      </c>
      <c r="U31" s="14">
        <v>0.17746341250397324</v>
      </c>
      <c r="V31" s="14">
        <v>0.18575830643042207</v>
      </c>
      <c r="W31" s="14">
        <v>0.40805246979329068</v>
      </c>
      <c r="X31" s="13">
        <v>317.35488327284287</v>
      </c>
      <c r="Y31" s="13">
        <v>395.01413125821307</v>
      </c>
      <c r="Z31" s="13">
        <v>585.15484891801805</v>
      </c>
      <c r="AA31" s="13">
        <v>1.5515112317116329</v>
      </c>
      <c r="AB31" s="13">
        <v>1.9772591284182974</v>
      </c>
      <c r="AC31" s="13">
        <v>1.0929758275192076</v>
      </c>
      <c r="AD31" s="13">
        <v>4.3974918629756781</v>
      </c>
      <c r="AE31" s="13">
        <v>4.015701404511451</v>
      </c>
      <c r="AF31" s="13">
        <v>6.3439102114462456</v>
      </c>
      <c r="AG31" s="13">
        <v>3.3087532515837585</v>
      </c>
      <c r="AH31" s="13">
        <v>2.9568220570669475</v>
      </c>
      <c r="AI31" s="13">
        <v>4.3668874485163114</v>
      </c>
      <c r="AJ31" s="13">
        <v>4.0257179693317395</v>
      </c>
      <c r="AK31" s="13">
        <v>3.4077432201903828</v>
      </c>
      <c r="AL31" s="13">
        <v>5.1640669873688942</v>
      </c>
      <c r="AM31" s="13">
        <v>2.8917793927073312</v>
      </c>
      <c r="AN31" s="13">
        <v>2.7084996288025174</v>
      </c>
      <c r="AO31" s="13">
        <v>3.1184913159157635</v>
      </c>
      <c r="AP31" s="13">
        <v>0.95396350566250832</v>
      </c>
      <c r="AQ31" s="13">
        <v>1.4484747713703341</v>
      </c>
      <c r="AR31" s="13">
        <v>2.0642990102644942</v>
      </c>
      <c r="AS31" s="13">
        <v>1.3035267518565072</v>
      </c>
      <c r="AT31" s="13">
        <v>0.71804756898353306</v>
      </c>
      <c r="AU31" s="13">
        <v>2.5100806533512015</v>
      </c>
      <c r="AV31" s="13">
        <v>6.4653810158729105E-2</v>
      </c>
      <c r="AW31" s="13">
        <v>0.104178356878932</v>
      </c>
      <c r="AX31" s="13">
        <v>8.4013407617759606E-2</v>
      </c>
      <c r="AY31" s="13">
        <v>5.4887793587824703E-2</v>
      </c>
      <c r="AZ31" s="13">
        <v>6.8080573330706495E-2</v>
      </c>
      <c r="BA31" s="13">
        <v>0.11195696750814001</v>
      </c>
      <c r="BB31" s="13">
        <v>1.5987482021505099</v>
      </c>
      <c r="BC31" s="13">
        <v>1.54570002642066</v>
      </c>
      <c r="BD31" s="13">
        <v>1.6690226768484999</v>
      </c>
      <c r="BE31" s="13">
        <v>1.61435745963654</v>
      </c>
      <c r="BF31" s="13">
        <v>1.37946293462525</v>
      </c>
      <c r="BG31" s="13">
        <v>1.4918740801765999</v>
      </c>
      <c r="BH31" s="7">
        <v>89.795938963345705</v>
      </c>
      <c r="BI31" s="7">
        <v>82.497969602042005</v>
      </c>
      <c r="BJ31" s="7">
        <v>91.140458802984597</v>
      </c>
      <c r="BK31" s="6">
        <v>31.285864978903</v>
      </c>
      <c r="BL31" s="7">
        <v>26.474092460440598</v>
      </c>
      <c r="BM31" s="7">
        <v>42.802889095992597</v>
      </c>
      <c r="BN31" s="7">
        <v>2815</v>
      </c>
      <c r="BO31" s="7">
        <v>2876</v>
      </c>
      <c r="BP31" s="7">
        <v>2839</v>
      </c>
      <c r="BQ31" s="6">
        <v>94.871935201401001</v>
      </c>
      <c r="BR31" s="7">
        <v>92.231074747416997</v>
      </c>
      <c r="BS31" s="7">
        <v>95.991839849712306</v>
      </c>
      <c r="BT31" s="7">
        <v>80.045029269024894</v>
      </c>
      <c r="BU31" s="7">
        <v>83.609514832720194</v>
      </c>
      <c r="BV31" s="7">
        <v>86.132426993770494</v>
      </c>
      <c r="BW31" s="7">
        <v>34.331759656652402</v>
      </c>
      <c r="BX31" s="7">
        <v>33.740286298568499</v>
      </c>
      <c r="BY31" s="7">
        <v>29.1584093872229</v>
      </c>
      <c r="BZ31" s="7">
        <v>2827</v>
      </c>
      <c r="CA31" s="7">
        <v>2809</v>
      </c>
      <c r="CB31" s="7">
        <v>2882</v>
      </c>
      <c r="CC31" s="6">
        <v>89.399994079862694</v>
      </c>
      <c r="CD31" s="7">
        <v>91.862858741706006</v>
      </c>
      <c r="CE31" s="7">
        <v>93.084209776595998</v>
      </c>
      <c r="CF31" s="13">
        <f t="shared" si="1"/>
        <v>1.2447079029775112</v>
      </c>
      <c r="CG31" s="13">
        <f t="shared" si="0"/>
        <v>1.8438501493450683</v>
      </c>
      <c r="CH31" s="44">
        <v>1</v>
      </c>
      <c r="CI31" s="38">
        <v>8.0794520547945208</v>
      </c>
      <c r="CJ31" s="45">
        <v>19.3256627963132</v>
      </c>
      <c r="CK31" s="44">
        <v>121</v>
      </c>
      <c r="CL31" s="61">
        <v>57</v>
      </c>
      <c r="CM31" s="62">
        <v>74</v>
      </c>
      <c r="CN31" s="62">
        <v>68</v>
      </c>
      <c r="CO31" s="62">
        <v>64</v>
      </c>
      <c r="CP31" s="62">
        <v>78</v>
      </c>
      <c r="CQ31" s="62">
        <v>69</v>
      </c>
      <c r="CR31" s="63">
        <v>72</v>
      </c>
      <c r="CS31" s="64">
        <v>11</v>
      </c>
      <c r="CT31" s="65">
        <v>2</v>
      </c>
      <c r="CU31" s="65">
        <v>13</v>
      </c>
    </row>
    <row r="32" spans="1:99" x14ac:dyDescent="0.3">
      <c r="A32" s="12" t="s">
        <v>95</v>
      </c>
      <c r="B32" s="1" t="s">
        <v>138</v>
      </c>
      <c r="C32" s="13">
        <v>33.649105874186162</v>
      </c>
      <c r="D32" s="13">
        <v>29.665590292943676</v>
      </c>
      <c r="E32" s="13">
        <v>88.657272885532933</v>
      </c>
      <c r="F32" s="13">
        <v>26.097485476933223</v>
      </c>
      <c r="G32" s="13">
        <v>26.573011653502398</v>
      </c>
      <c r="H32" s="13">
        <v>93.913754655999057</v>
      </c>
      <c r="I32" s="13">
        <v>14.102868935905265</v>
      </c>
      <c r="J32" s="13">
        <v>15.388476390898111</v>
      </c>
      <c r="K32" s="13">
        <v>43.759712477835642</v>
      </c>
      <c r="L32" s="13">
        <v>759.29103461842942</v>
      </c>
      <c r="M32" s="13">
        <v>690.4768999740927</v>
      </c>
      <c r="N32" s="13">
        <v>4197.5589566285744</v>
      </c>
      <c r="O32" s="13">
        <v>10.969521278869586</v>
      </c>
      <c r="P32" s="13">
        <v>40.547723689962794</v>
      </c>
      <c r="Q32" s="13">
        <v>-66.31533170071431</v>
      </c>
      <c r="R32" s="14">
        <v>0.16426948114498421</v>
      </c>
      <c r="S32" s="14">
        <v>0.13168842205186471</v>
      </c>
      <c r="T32" s="14">
        <v>0.37133846106675084</v>
      </c>
      <c r="U32" s="14">
        <v>0.12898193410694242</v>
      </c>
      <c r="V32" s="14">
        <v>7.9959634441211763E-2</v>
      </c>
      <c r="W32" s="14">
        <v>0.36424559825713082</v>
      </c>
      <c r="X32" s="13">
        <v>422.73349635376053</v>
      </c>
      <c r="Y32" s="13">
        <v>461.26957981717112</v>
      </c>
      <c r="Z32" s="13">
        <v>1311.6973815231231</v>
      </c>
      <c r="AA32" s="13">
        <v>1.4932939412243591</v>
      </c>
      <c r="AB32" s="13">
        <v>1.3518997943730475</v>
      </c>
      <c r="AC32" s="13">
        <v>1.2107727488873654</v>
      </c>
      <c r="AD32" s="13">
        <v>7.1379320971673526</v>
      </c>
      <c r="AE32" s="13">
        <v>6.8338270037803133</v>
      </c>
      <c r="AF32" s="13">
        <v>13.856796204509523</v>
      </c>
      <c r="AG32" s="13">
        <v>5.6728039940120931</v>
      </c>
      <c r="AH32" s="13">
        <v>6.2962895772022343</v>
      </c>
      <c r="AI32" s="13">
        <v>16.35353164836696</v>
      </c>
      <c r="AJ32" s="13">
        <v>6.4988365221497864</v>
      </c>
      <c r="AK32" s="13">
        <v>6.2194068692708271</v>
      </c>
      <c r="AL32" s="13">
        <v>8.4975231922276535</v>
      </c>
      <c r="AM32" s="13">
        <v>5.1406045314149971</v>
      </c>
      <c r="AN32" s="13">
        <v>5.6493776265292155</v>
      </c>
      <c r="AO32" s="13">
        <v>12.339007790194842</v>
      </c>
      <c r="AP32" s="13">
        <v>1.8271774928570566</v>
      </c>
      <c r="AQ32" s="13">
        <v>2.054791999207644</v>
      </c>
      <c r="AR32" s="13">
        <v>8.4489650222675898</v>
      </c>
      <c r="AS32" s="13">
        <v>1.7096124575963427</v>
      </c>
      <c r="AT32" s="13">
        <v>1.9569063479169597</v>
      </c>
      <c r="AU32" s="13">
        <v>8.7620533120178123</v>
      </c>
      <c r="AV32" s="13">
        <v>5.41391902394604E-2</v>
      </c>
      <c r="AW32" s="13">
        <v>6.1341644673582302E-2</v>
      </c>
      <c r="AX32" s="13">
        <v>7.3992727903330002E-2</v>
      </c>
      <c r="AY32" s="13">
        <v>4.1792572281982902E-2</v>
      </c>
      <c r="AZ32" s="13">
        <v>4.9078208267294698E-2</v>
      </c>
      <c r="BA32" s="13">
        <v>5.4759280342350197E-2</v>
      </c>
      <c r="BB32" s="13">
        <v>1.6898377998243399</v>
      </c>
      <c r="BC32" s="13">
        <v>1.67665130232203</v>
      </c>
      <c r="BD32" s="13">
        <v>1.61864257138715</v>
      </c>
      <c r="BE32" s="13">
        <v>1.7107303235209399</v>
      </c>
      <c r="BF32" s="13">
        <v>1.59812142722099</v>
      </c>
      <c r="BG32" s="13">
        <v>1.68054646360952</v>
      </c>
      <c r="BH32" s="7">
        <v>93.162716896145795</v>
      </c>
      <c r="BI32" s="7">
        <v>93.420235878336399</v>
      </c>
      <c r="BJ32" s="7">
        <v>93.813058446598106</v>
      </c>
      <c r="BK32" s="6">
        <v>44.113427047988402</v>
      </c>
      <c r="BL32" s="7">
        <v>38.810888252148999</v>
      </c>
      <c r="BM32" s="7">
        <v>38.0791599353796</v>
      </c>
      <c r="BN32" s="7">
        <v>2795</v>
      </c>
      <c r="BO32" s="7">
        <v>2849</v>
      </c>
      <c r="BP32" s="7">
        <v>2835</v>
      </c>
      <c r="BQ32" s="6">
        <v>97.465761028632599</v>
      </c>
      <c r="BR32" s="7">
        <v>97.032103227812399</v>
      </c>
      <c r="BS32" s="7">
        <v>96.317700156985893</v>
      </c>
      <c r="BT32" s="7">
        <v>95.609433044629995</v>
      </c>
      <c r="BU32" s="7">
        <v>94.0774511127496</v>
      </c>
      <c r="BV32" s="7">
        <v>97.737675966993805</v>
      </c>
      <c r="BW32" s="7">
        <v>51.675615212528001</v>
      </c>
      <c r="BX32" s="7">
        <v>44.472263132056902</v>
      </c>
      <c r="BY32" s="7">
        <v>69.529241877256297</v>
      </c>
      <c r="BZ32" s="7">
        <v>2780</v>
      </c>
      <c r="CA32" s="7">
        <v>2775</v>
      </c>
      <c r="CB32" s="7">
        <v>2807</v>
      </c>
      <c r="CC32" s="6">
        <v>97.973569180705795</v>
      </c>
      <c r="CD32" s="7">
        <v>97.635159345215598</v>
      </c>
      <c r="CE32" s="7">
        <v>99.294012868879506</v>
      </c>
      <c r="CF32" s="13">
        <f t="shared" si="1"/>
        <v>1.0911592854500511</v>
      </c>
      <c r="CG32" s="13">
        <f t="shared" si="0"/>
        <v>3.1028943597728098</v>
      </c>
      <c r="CH32" s="40">
        <v>1</v>
      </c>
      <c r="CI32" s="38">
        <v>7.9808219178082194</v>
      </c>
      <c r="CJ32" s="41">
        <v>19.410523517103599</v>
      </c>
      <c r="CK32" s="40">
        <v>124</v>
      </c>
      <c r="CL32" s="56">
        <v>60</v>
      </c>
      <c r="CM32" s="57">
        <v>81</v>
      </c>
      <c r="CN32" s="57">
        <v>78</v>
      </c>
      <c r="CO32" s="57">
        <v>75</v>
      </c>
      <c r="CP32" s="57">
        <v>76</v>
      </c>
      <c r="CQ32" s="57">
        <v>78</v>
      </c>
      <c r="CR32" s="58">
        <v>79</v>
      </c>
      <c r="CS32" s="59">
        <v>10</v>
      </c>
      <c r="CT32" s="60">
        <v>6</v>
      </c>
      <c r="CU32" s="60">
        <v>16</v>
      </c>
    </row>
    <row r="33" spans="1:99" x14ac:dyDescent="0.3">
      <c r="A33" s="12" t="s">
        <v>96</v>
      </c>
      <c r="B33" s="1" t="s">
        <v>138</v>
      </c>
      <c r="C33" s="13">
        <v>49.974620548969696</v>
      </c>
      <c r="D33" s="13">
        <v>47.451276253974434</v>
      </c>
      <c r="E33" s="13">
        <v>35.329854357346179</v>
      </c>
      <c r="F33" s="13">
        <v>21.069250104839824</v>
      </c>
      <c r="G33" s="13">
        <v>19.00836063138664</v>
      </c>
      <c r="H33" s="13">
        <v>25.997984136775813</v>
      </c>
      <c r="I33" s="13">
        <v>15.136143898002496</v>
      </c>
      <c r="J33" s="13">
        <v>19.172754940167792</v>
      </c>
      <c r="K33" s="13">
        <v>18.856464487837002</v>
      </c>
      <c r="L33" s="13">
        <v>857.00695328280312</v>
      </c>
      <c r="M33" s="13">
        <v>841.00491414334442</v>
      </c>
      <c r="N33" s="13">
        <v>512.58042259985882</v>
      </c>
      <c r="O33" s="13">
        <v>5.2328920225317868</v>
      </c>
      <c r="P33" s="13">
        <v>-10.831543889596306</v>
      </c>
      <c r="Q33" s="13">
        <v>-6.9681086497036624</v>
      </c>
      <c r="R33" s="14">
        <v>7.9634377282364804E-2</v>
      </c>
      <c r="S33" s="14">
        <v>8.3331403058374193E-2</v>
      </c>
      <c r="T33" s="14">
        <v>0.32391522731686156</v>
      </c>
      <c r="U33" s="14">
        <v>0.19398767255295524</v>
      </c>
      <c r="V33" s="14">
        <v>0.35589244928795927</v>
      </c>
      <c r="W33" s="14">
        <v>0.3413656972109621</v>
      </c>
      <c r="X33" s="13">
        <v>453.70591334262502</v>
      </c>
      <c r="Y33" s="13">
        <v>574.70332933152986</v>
      </c>
      <c r="Z33" s="13">
        <v>565.22252302291429</v>
      </c>
      <c r="AA33" s="13">
        <v>1.1609234636146997</v>
      </c>
      <c r="AB33" s="13">
        <v>1.8328131663460259</v>
      </c>
      <c r="AC33" s="13">
        <v>1.3854717218484183</v>
      </c>
      <c r="AD33" s="13">
        <v>12.403385805991597</v>
      </c>
      <c r="AE33" s="13">
        <v>11.367530858744621</v>
      </c>
      <c r="AF33" s="13">
        <v>5.6070908323956594</v>
      </c>
      <c r="AG33" s="13">
        <v>3.8124837983900344</v>
      </c>
      <c r="AH33" s="13">
        <v>4.3738039356226333</v>
      </c>
      <c r="AI33" s="13">
        <v>4.8569491102866085</v>
      </c>
      <c r="AJ33" s="13">
        <v>12.158999132493468</v>
      </c>
      <c r="AK33" s="13">
        <v>10.298395592067768</v>
      </c>
      <c r="AL33" s="13">
        <v>4.184561771843665</v>
      </c>
      <c r="AM33" s="13">
        <v>3.348197334875187</v>
      </c>
      <c r="AN33" s="13">
        <v>4.0238439358944298</v>
      </c>
      <c r="AO33" s="13">
        <v>4.1577411889242244</v>
      </c>
      <c r="AP33" s="13">
        <v>1.4819587333653552</v>
      </c>
      <c r="AQ33" s="13">
        <v>3.436946643305796</v>
      </c>
      <c r="AR33" s="13">
        <v>2.5846148617074469</v>
      </c>
      <c r="AS33" s="13">
        <v>1.5041639927413768</v>
      </c>
      <c r="AT33" s="13">
        <v>1.4097962950980718</v>
      </c>
      <c r="AU33" s="13">
        <v>1.8368214104133835</v>
      </c>
      <c r="AV33" s="13">
        <v>2.7346826035994601E-2</v>
      </c>
      <c r="AW33" s="13">
        <v>4.98812816364241E-2</v>
      </c>
      <c r="AX33" s="13">
        <v>9.2501899196952203E-2</v>
      </c>
      <c r="AY33" s="13">
        <v>8.6494578086099602E-2</v>
      </c>
      <c r="AZ33" s="13">
        <v>7.4279267329366197E-2</v>
      </c>
      <c r="BA33" s="13">
        <v>7.6335898871411706E-2</v>
      </c>
      <c r="BB33" s="13">
        <v>1.6129327391189801</v>
      </c>
      <c r="BC33" s="13">
        <v>1.62752508228924</v>
      </c>
      <c r="BD33" s="13">
        <v>1.5701499131888099</v>
      </c>
      <c r="BE33" s="13">
        <v>1.52738869089808</v>
      </c>
      <c r="BF33" s="13">
        <v>1.3687423783136601</v>
      </c>
      <c r="BG33" s="13">
        <v>1.57803947295058</v>
      </c>
      <c r="BH33" s="7">
        <v>94.653171643739796</v>
      </c>
      <c r="BI33" s="7">
        <v>95.284235788210594</v>
      </c>
      <c r="BJ33" s="7">
        <v>96.631415622065305</v>
      </c>
      <c r="BK33" s="6">
        <v>40.509611086276301</v>
      </c>
      <c r="BL33" s="7">
        <v>47.501994017946203</v>
      </c>
      <c r="BM33" s="7">
        <v>43.907235621521302</v>
      </c>
      <c r="BN33" s="7">
        <v>2767</v>
      </c>
      <c r="BO33" s="7">
        <v>2828</v>
      </c>
      <c r="BP33" s="7">
        <v>2799</v>
      </c>
      <c r="BQ33" s="6">
        <v>98.102921038271106</v>
      </c>
      <c r="BR33" s="7">
        <v>97.783463732319703</v>
      </c>
      <c r="BS33" s="7">
        <v>98.539712571957693</v>
      </c>
      <c r="BT33" s="7">
        <v>90.434825870646804</v>
      </c>
      <c r="BU33" s="7">
        <v>82.057987276652</v>
      </c>
      <c r="BV33" s="7">
        <v>90.085750166790902</v>
      </c>
      <c r="BW33" s="7">
        <v>33.500552893475898</v>
      </c>
      <c r="BX33" s="7">
        <v>26.9918673756647</v>
      </c>
      <c r="BY33" s="7">
        <v>38.385869565217398</v>
      </c>
      <c r="BZ33" s="7">
        <v>2835</v>
      </c>
      <c r="CA33" s="7">
        <v>2900</v>
      </c>
      <c r="CB33" s="7">
        <v>2855</v>
      </c>
      <c r="CC33" s="6">
        <v>95.756882984360004</v>
      </c>
      <c r="CD33" s="7">
        <v>91.667878230772502</v>
      </c>
      <c r="CE33" s="7">
        <v>94.863186005108801</v>
      </c>
      <c r="CF33" s="13">
        <f t="shared" si="1"/>
        <v>1.2666868833546174</v>
      </c>
      <c r="CG33" s="13">
        <f t="shared" si="0"/>
        <v>1.2457905140770675</v>
      </c>
      <c r="CH33" s="40">
        <v>2</v>
      </c>
      <c r="CI33" s="38">
        <v>11.93972602739726</v>
      </c>
      <c r="CJ33" s="41">
        <v>68.266495639063294</v>
      </c>
      <c r="CK33" s="40">
        <v>173.5</v>
      </c>
      <c r="CL33" s="56">
        <v>65</v>
      </c>
      <c r="CM33" s="57">
        <v>71</v>
      </c>
      <c r="CN33" s="57">
        <v>68</v>
      </c>
      <c r="CO33" s="57">
        <v>82</v>
      </c>
      <c r="CP33" s="57">
        <v>90</v>
      </c>
      <c r="CQ33" s="57">
        <v>74</v>
      </c>
      <c r="CR33" s="58">
        <v>79</v>
      </c>
      <c r="CS33" s="59">
        <v>11</v>
      </c>
      <c r="CT33" s="60">
        <v>1</v>
      </c>
      <c r="CU33" s="60">
        <v>12</v>
      </c>
    </row>
    <row r="34" spans="1:99" x14ac:dyDescent="0.3">
      <c r="A34" s="12" t="s">
        <v>97</v>
      </c>
      <c r="B34" s="1" t="s">
        <v>138</v>
      </c>
      <c r="C34" s="13">
        <v>36.049588491449519</v>
      </c>
      <c r="D34" s="13">
        <v>74.334582131431972</v>
      </c>
      <c r="E34" s="13">
        <v>53.789479558064535</v>
      </c>
      <c r="F34" s="13">
        <v>34.697608335649505</v>
      </c>
      <c r="G34" s="13">
        <v>50.810716890612198</v>
      </c>
      <c r="H34" s="13">
        <v>56.07489633293968</v>
      </c>
      <c r="I34" s="13">
        <v>20.034554391207426</v>
      </c>
      <c r="J34" s="13">
        <v>30.101511949447826</v>
      </c>
      <c r="K34" s="13">
        <v>49.130577622814748</v>
      </c>
      <c r="L34" s="13">
        <v>883.22698743790659</v>
      </c>
      <c r="M34" s="13">
        <v>2396.3790147312329</v>
      </c>
      <c r="N34" s="13">
        <v>1984.9388391594102</v>
      </c>
      <c r="O34" s="13">
        <v>38.320260291405134</v>
      </c>
      <c r="P34" s="13">
        <v>-3.6781076219511744</v>
      </c>
      <c r="Q34" s="13">
        <v>41.971844246681862</v>
      </c>
      <c r="R34" s="14">
        <v>0.13148149575625745</v>
      </c>
      <c r="S34" s="14">
        <v>0.16150182440951386</v>
      </c>
      <c r="T34" s="14">
        <v>0.24858692197684601</v>
      </c>
      <c r="U34" s="14">
        <v>0.1158608413343349</v>
      </c>
      <c r="V34" s="14">
        <v>0.16351705068816677</v>
      </c>
      <c r="W34" s="14">
        <v>0.39348592691023582</v>
      </c>
      <c r="X34" s="13">
        <v>600.53576787644272</v>
      </c>
      <c r="Y34" s="13">
        <v>902.29282068469843</v>
      </c>
      <c r="Z34" s="13">
        <v>1472.6890642438716</v>
      </c>
      <c r="AA34" s="13">
        <v>1.6091530261225699</v>
      </c>
      <c r="AB34" s="13">
        <v>1.6027361675859479</v>
      </c>
      <c r="AC34" s="13">
        <v>1.0033788995070223</v>
      </c>
      <c r="AD34" s="13">
        <v>8.1596293385287826</v>
      </c>
      <c r="AE34" s="13">
        <v>12.437471174788502</v>
      </c>
      <c r="AF34" s="13">
        <v>10.747539403899285</v>
      </c>
      <c r="AG34" s="13">
        <v>7.1006276142951688</v>
      </c>
      <c r="AH34" s="13">
        <v>10.233498914286422</v>
      </c>
      <c r="AI34" s="13">
        <v>10.380120720761726</v>
      </c>
      <c r="AJ34" s="13">
        <v>7.5517080701882549</v>
      </c>
      <c r="AK34" s="13">
        <v>11.121368071134848</v>
      </c>
      <c r="AL34" s="13">
        <v>8.9753564253767113</v>
      </c>
      <c r="AM34" s="13">
        <v>6.0933312495889211</v>
      </c>
      <c r="AN34" s="13">
        <v>8.1001211423514938</v>
      </c>
      <c r="AO34" s="13">
        <v>7.0976204674739831</v>
      </c>
      <c r="AP34" s="13">
        <v>2.5550922065408512</v>
      </c>
      <c r="AQ34" s="13">
        <v>4.1680733559552143</v>
      </c>
      <c r="AR34" s="13">
        <v>4.5211661743488385</v>
      </c>
      <c r="AS34" s="13">
        <v>2.2511242091953605</v>
      </c>
      <c r="AT34" s="13">
        <v>3.146159796860311</v>
      </c>
      <c r="AU34" s="13">
        <v>7.10087168057788</v>
      </c>
      <c r="AV34" s="13">
        <v>7.5578028370726802E-2</v>
      </c>
      <c r="AW34" s="13">
        <v>6.5268610350000603E-2</v>
      </c>
      <c r="AX34" s="13">
        <v>0.11799085357040701</v>
      </c>
      <c r="AY34" s="13">
        <v>4.9304422052963003E-2</v>
      </c>
      <c r="AZ34" s="13">
        <v>4.9243535882861199E-2</v>
      </c>
      <c r="BA34" s="13">
        <v>0.11237889749220301</v>
      </c>
      <c r="BB34" s="13">
        <v>1.5904343423181</v>
      </c>
      <c r="BC34" s="13">
        <v>1.5776454224808201</v>
      </c>
      <c r="BD34" s="13">
        <v>1.4256095752209801</v>
      </c>
      <c r="BE34" s="13">
        <v>1.6750728940244</v>
      </c>
      <c r="BF34" s="13">
        <v>1.74515954487438</v>
      </c>
      <c r="BG34" s="13">
        <v>1.4439401584915399</v>
      </c>
      <c r="BH34" s="7">
        <v>92.8494451402441</v>
      </c>
      <c r="BI34" s="7">
        <v>91.675432475499093</v>
      </c>
      <c r="BJ34" s="7">
        <v>84.067094112725101</v>
      </c>
      <c r="BK34" s="6">
        <v>37.904875148632598</v>
      </c>
      <c r="BL34" s="7">
        <v>32.857036207540098</v>
      </c>
      <c r="BM34" s="7">
        <v>29.5099043715847</v>
      </c>
      <c r="BN34" s="7">
        <v>2870</v>
      </c>
      <c r="BO34" s="7">
        <v>2771</v>
      </c>
      <c r="BP34" s="7">
        <v>2867</v>
      </c>
      <c r="BQ34" s="6">
        <v>96.901407102059196</v>
      </c>
      <c r="BR34" s="7">
        <v>96.517561060747596</v>
      </c>
      <c r="BS34" s="7">
        <v>92.867629419949097</v>
      </c>
      <c r="BT34" s="7">
        <v>95.239360571404305</v>
      </c>
      <c r="BU34" s="7">
        <v>95.936975929143102</v>
      </c>
      <c r="BV34" s="7">
        <v>87.585938513425901</v>
      </c>
      <c r="BW34" s="7">
        <v>59.184280052840201</v>
      </c>
      <c r="BX34" s="7">
        <v>54.188882586500299</v>
      </c>
      <c r="BY34" s="7">
        <v>33.2484848484849</v>
      </c>
      <c r="BZ34" s="7">
        <v>2743</v>
      </c>
      <c r="CA34" s="7">
        <v>2822</v>
      </c>
      <c r="CB34" s="7">
        <v>2831</v>
      </c>
      <c r="CC34" s="6">
        <v>98.109600234663105</v>
      </c>
      <c r="CD34" s="7">
        <v>98.271158749412095</v>
      </c>
      <c r="CE34" s="7">
        <v>93.563114342782399</v>
      </c>
      <c r="CF34" s="13">
        <f t="shared" si="1"/>
        <v>1.5024797338471616</v>
      </c>
      <c r="CG34" s="13">
        <f t="shared" si="0"/>
        <v>2.4522920082703052</v>
      </c>
      <c r="CH34" s="40">
        <v>1</v>
      </c>
      <c r="CI34" s="38">
        <v>7.1643835616438354</v>
      </c>
      <c r="CJ34" s="41">
        <v>22.776790021878298</v>
      </c>
      <c r="CK34" s="40">
        <v>135</v>
      </c>
      <c r="CL34" s="56">
        <v>67</v>
      </c>
      <c r="CM34" s="57">
        <v>75</v>
      </c>
      <c r="CN34" s="57">
        <v>72</v>
      </c>
      <c r="CO34" s="57">
        <v>81</v>
      </c>
      <c r="CP34" s="57">
        <v>61</v>
      </c>
      <c r="CQ34" s="57">
        <v>77</v>
      </c>
      <c r="CR34" s="58">
        <v>74</v>
      </c>
      <c r="CS34" s="59">
        <v>8</v>
      </c>
      <c r="CT34" s="60">
        <v>0</v>
      </c>
      <c r="CU34" s="60">
        <v>8</v>
      </c>
    </row>
    <row r="35" spans="1:99" ht="15" thickBot="1" x14ac:dyDescent="0.35">
      <c r="A35" s="12" t="s">
        <v>98</v>
      </c>
      <c r="B35" s="1" t="s">
        <v>138</v>
      </c>
      <c r="C35" s="13">
        <v>35.742179006109893</v>
      </c>
      <c r="D35" s="13">
        <v>28.725161123764629</v>
      </c>
      <c r="E35" s="13">
        <v>30.647217663631444</v>
      </c>
      <c r="F35" s="13">
        <v>30.060554279693985</v>
      </c>
      <c r="G35" s="13">
        <v>42.283880014203369</v>
      </c>
      <c r="H35" s="13">
        <v>41.382390917093986</v>
      </c>
      <c r="I35" s="13">
        <v>14.961672721184536</v>
      </c>
      <c r="J35" s="13">
        <v>27.286098990690729</v>
      </c>
      <c r="K35" s="13">
        <v>18.585075395373934</v>
      </c>
      <c r="L35" s="13">
        <v>938.69642199816371</v>
      </c>
      <c r="M35" s="13">
        <v>694.22651052479</v>
      </c>
      <c r="N35" s="13">
        <v>757.92854430760519</v>
      </c>
      <c r="O35" s="13">
        <v>-13.031412148715333</v>
      </c>
      <c r="P35" s="13">
        <v>-54.728651374575371</v>
      </c>
      <c r="Q35" s="13">
        <v>-79.092234114524416</v>
      </c>
      <c r="R35" s="14">
        <v>8.1487692018073765E-2</v>
      </c>
      <c r="S35" s="14">
        <v>0.57657327967684169</v>
      </c>
      <c r="T35" s="14">
        <v>0.22446091409874663</v>
      </c>
      <c r="U35" s="14">
        <v>0.122936398052678</v>
      </c>
      <c r="V35" s="14">
        <v>0.33221727647494331</v>
      </c>
      <c r="W35" s="14">
        <v>0.25423257077499306</v>
      </c>
      <c r="X35" s="13">
        <v>448.47613981750646</v>
      </c>
      <c r="Y35" s="13">
        <v>817.90081724595393</v>
      </c>
      <c r="Z35" s="13">
        <v>557.0876349763339</v>
      </c>
      <c r="AA35" s="13">
        <v>1.3277744209013371</v>
      </c>
      <c r="AB35" s="13">
        <v>1.6100307594627297</v>
      </c>
      <c r="AC35" s="13">
        <v>0.89125444307506962</v>
      </c>
      <c r="AD35" s="13">
        <v>7.7651685269610988</v>
      </c>
      <c r="AE35" s="13">
        <v>6.1406105993221116</v>
      </c>
      <c r="AF35" s="13">
        <v>6.1527603480390329</v>
      </c>
      <c r="AG35" s="13">
        <v>6.4456380437488932</v>
      </c>
      <c r="AH35" s="13">
        <v>7.6209180008354069</v>
      </c>
      <c r="AI35" s="13">
        <v>6.5426099700392983</v>
      </c>
      <c r="AJ35" s="13">
        <v>7.577063283350137</v>
      </c>
      <c r="AK35" s="13">
        <v>4.086213260594989</v>
      </c>
      <c r="AL35" s="13">
        <v>5.2050431741729133</v>
      </c>
      <c r="AM35" s="13">
        <v>6.0354993618322421</v>
      </c>
      <c r="AN35" s="13">
        <v>6.5515612843912816</v>
      </c>
      <c r="AO35" s="13">
        <v>5.6903309629347572</v>
      </c>
      <c r="AP35" s="13">
        <v>1.2826530525160957</v>
      </c>
      <c r="AQ35" s="13">
        <v>3.6471211324455615</v>
      </c>
      <c r="AR35" s="13">
        <v>1.6858462131703791</v>
      </c>
      <c r="AS35" s="13">
        <v>1.3216780403331723</v>
      </c>
      <c r="AT35" s="13">
        <v>2.8838375367731532</v>
      </c>
      <c r="AU35" s="13">
        <v>2.529207091706025</v>
      </c>
      <c r="AV35" s="13">
        <v>4.7456779062792401E-2</v>
      </c>
      <c r="AW35" s="13">
        <v>0.15090504307911401</v>
      </c>
      <c r="AX35" s="13">
        <v>6.6873324741003604E-2</v>
      </c>
      <c r="AY35" s="13">
        <v>4.2636944825887098E-2</v>
      </c>
      <c r="AZ35" s="13">
        <v>5.9490654081866497E-2</v>
      </c>
      <c r="BA35" s="13">
        <v>6.8468739858204897E-2</v>
      </c>
      <c r="BB35" s="13">
        <v>1.51564382857471</v>
      </c>
      <c r="BC35" s="13">
        <v>1.39073123512703</v>
      </c>
      <c r="BD35" s="13">
        <v>1.66490368488399</v>
      </c>
      <c r="BE35" s="13">
        <v>1.55772394882709</v>
      </c>
      <c r="BF35" s="13">
        <v>1.56848271652294</v>
      </c>
      <c r="BG35" s="13">
        <v>1.5606160165138201</v>
      </c>
      <c r="BH35" s="7">
        <v>89.846333967510603</v>
      </c>
      <c r="BI35" s="7">
        <v>76.1498842319142</v>
      </c>
      <c r="BJ35" s="7">
        <v>91.374459201887902</v>
      </c>
      <c r="BK35" s="6">
        <v>32.574460558896398</v>
      </c>
      <c r="BL35" s="7">
        <v>25.743769968051101</v>
      </c>
      <c r="BM35" s="7">
        <v>32.0388967468175</v>
      </c>
      <c r="BN35" s="7">
        <v>2863</v>
      </c>
      <c r="BO35" s="7">
        <v>2909</v>
      </c>
      <c r="BP35" s="7">
        <v>2816</v>
      </c>
      <c r="BQ35" s="6">
        <v>95.340960481876706</v>
      </c>
      <c r="BR35" s="7">
        <v>88.081010534166097</v>
      </c>
      <c r="BS35" s="7">
        <v>96.222437666244105</v>
      </c>
      <c r="BT35" s="7">
        <v>91.189009029957802</v>
      </c>
      <c r="BU35" s="7">
        <v>93.419347178660104</v>
      </c>
      <c r="BV35" s="7">
        <v>92.893065884774501</v>
      </c>
      <c r="BW35" s="7">
        <v>37.274455445544604</v>
      </c>
      <c r="BX35" s="7">
        <v>36.6671844660194</v>
      </c>
      <c r="BY35" s="7">
        <v>38.830357142857103</v>
      </c>
      <c r="BZ35" s="7">
        <v>2873</v>
      </c>
      <c r="CA35" s="7">
        <v>2843</v>
      </c>
      <c r="CB35" s="7">
        <v>2870</v>
      </c>
      <c r="CC35" s="6">
        <v>96.474404915479397</v>
      </c>
      <c r="CD35" s="7">
        <v>97.151945048833596</v>
      </c>
      <c r="CE35" s="7">
        <v>96.528891591299697</v>
      </c>
      <c r="CF35" s="13">
        <f t="shared" si="1"/>
        <v>1.8237331813879183</v>
      </c>
      <c r="CG35" s="13">
        <f t="shared" si="0"/>
        <v>1.2421789823713332</v>
      </c>
      <c r="CH35" s="46">
        <v>2</v>
      </c>
      <c r="CI35" s="38">
        <v>10.04109589041096</v>
      </c>
      <c r="CJ35" s="47">
        <v>30.465859638108199</v>
      </c>
      <c r="CK35" s="46">
        <v>129</v>
      </c>
      <c r="CL35" s="56">
        <v>62</v>
      </c>
      <c r="CM35" s="57">
        <v>90</v>
      </c>
      <c r="CN35" s="57">
        <v>80</v>
      </c>
      <c r="CO35" s="57">
        <v>64</v>
      </c>
      <c r="CP35" s="57">
        <v>74</v>
      </c>
      <c r="CQ35" s="57">
        <v>79</v>
      </c>
      <c r="CR35" s="58">
        <v>79</v>
      </c>
      <c r="CS35" s="59">
        <v>8</v>
      </c>
      <c r="CT35" s="60">
        <v>2</v>
      </c>
      <c r="CU35" s="60">
        <v>10</v>
      </c>
    </row>
    <row r="36" spans="1:99" x14ac:dyDescent="0.3">
      <c r="A36" s="12" t="s">
        <v>99</v>
      </c>
      <c r="B36" s="1" t="s">
        <v>138</v>
      </c>
      <c r="C36" s="13">
        <v>39.958144385893242</v>
      </c>
      <c r="D36" s="13">
        <v>59.338661699842454</v>
      </c>
      <c r="E36" s="13">
        <v>59.197996911711073</v>
      </c>
      <c r="F36" s="13">
        <v>19.073509251725774</v>
      </c>
      <c r="G36" s="13">
        <v>42.022937312025235</v>
      </c>
      <c r="H36" s="13">
        <v>50.091200359962784</v>
      </c>
      <c r="I36" s="13">
        <v>12.505576638434658</v>
      </c>
      <c r="J36" s="13">
        <v>27.249141745044607</v>
      </c>
      <c r="K36" s="13">
        <v>27.566358979183264</v>
      </c>
      <c r="L36" s="13">
        <v>540.95049440270111</v>
      </c>
      <c r="M36" s="13">
        <v>1198.1803912343059</v>
      </c>
      <c r="N36" s="13">
        <v>1924.5794581092264</v>
      </c>
      <c r="O36" s="13"/>
      <c r="P36" s="13">
        <v>-7.7976587806149293</v>
      </c>
      <c r="Q36" s="13">
        <v>-17.029608741011934</v>
      </c>
      <c r="R36" s="14">
        <v>8.3145808325004733E-2</v>
      </c>
      <c r="S36" s="14">
        <v>0.12909504258644361</v>
      </c>
      <c r="T36" s="14">
        <v>0.13131472744319381</v>
      </c>
      <c r="U36" s="14">
        <v>0.24687766810709755</v>
      </c>
      <c r="V36" s="14">
        <v>0.44857074532986041</v>
      </c>
      <c r="W36" s="14">
        <v>0.258856253788532</v>
      </c>
      <c r="X36" s="13">
        <v>374.85465973707869</v>
      </c>
      <c r="Y36" s="13">
        <v>816.79302380771173</v>
      </c>
      <c r="Z36" s="13">
        <v>826.30161040101848</v>
      </c>
      <c r="AA36" s="13">
        <v>1.6580601028618149</v>
      </c>
      <c r="AB36" s="13">
        <v>1.0959273099142135</v>
      </c>
      <c r="AC36" s="13">
        <v>0.95471925557517057</v>
      </c>
      <c r="AD36" s="13">
        <v>10.628882436625029</v>
      </c>
      <c r="AE36" s="13">
        <v>10.412511911411579</v>
      </c>
      <c r="AF36" s="13">
        <v>11.673511120647735</v>
      </c>
      <c r="AG36" s="13">
        <v>3.0604978943254495</v>
      </c>
      <c r="AH36" s="13">
        <v>6.1818459051858623</v>
      </c>
      <c r="AI36" s="13">
        <v>8.9076070004598282</v>
      </c>
      <c r="AJ36" s="13">
        <v>10.394706683519862</v>
      </c>
      <c r="AK36" s="13">
        <v>8.9808511868001464</v>
      </c>
      <c r="AL36" s="13">
        <v>10.853372991156304</v>
      </c>
      <c r="AM36" s="13">
        <v>2.3901542050860565</v>
      </c>
      <c r="AN36" s="13">
        <v>3.9516992705261029</v>
      </c>
      <c r="AO36" s="13">
        <v>6.6544011600365121</v>
      </c>
      <c r="AP36" s="13">
        <v>1.3617719237756896</v>
      </c>
      <c r="AQ36" s="13">
        <v>3.1987391035758965</v>
      </c>
      <c r="AR36" s="13">
        <v>2.5698891668588413</v>
      </c>
      <c r="AS36" s="13">
        <v>1.5398561235747112</v>
      </c>
      <c r="AT36" s="13">
        <v>4.0026143567265562</v>
      </c>
      <c r="AU36" s="13">
        <v>3.7250163196930179</v>
      </c>
      <c r="AV36" s="13">
        <v>2.9522308259228899E-2</v>
      </c>
      <c r="AW36" s="13">
        <v>6.0180810332883299E-2</v>
      </c>
      <c r="AX36" s="13">
        <v>4.7984281519040398E-2</v>
      </c>
      <c r="AY36" s="13">
        <v>6.7108813652838398E-2</v>
      </c>
      <c r="AZ36" s="13">
        <v>9.1995460108765595E-2</v>
      </c>
      <c r="BA36" s="13">
        <v>7.6529418145546105E-2</v>
      </c>
      <c r="BB36" s="13">
        <v>1.5338268506320301</v>
      </c>
      <c r="BC36" s="13">
        <v>1.6154176717656401</v>
      </c>
      <c r="BD36" s="13">
        <v>1.6228237393698499</v>
      </c>
      <c r="BE36" s="13">
        <v>1.5140994265489001</v>
      </c>
      <c r="BF36" s="13">
        <v>1.525618608022</v>
      </c>
      <c r="BG36" s="13">
        <v>1.6489391706797301</v>
      </c>
      <c r="BH36" s="7">
        <v>89.622595615921199</v>
      </c>
      <c r="BI36" s="7">
        <v>93.862664727400897</v>
      </c>
      <c r="BJ36" s="7">
        <v>94.949505201725401</v>
      </c>
      <c r="BK36" s="6">
        <v>31.567854694996601</v>
      </c>
      <c r="BL36" s="7">
        <v>39.806542056074797</v>
      </c>
      <c r="BM36" s="7">
        <v>40.115351629502598</v>
      </c>
      <c r="BN36" s="7">
        <v>2867</v>
      </c>
      <c r="BO36" s="7">
        <v>2694</v>
      </c>
      <c r="BP36" s="7">
        <v>2807</v>
      </c>
      <c r="BQ36" s="6">
        <v>95.191191287242702</v>
      </c>
      <c r="BR36" s="7">
        <v>97.290005265815097</v>
      </c>
      <c r="BS36" s="7">
        <v>97.950544886869693</v>
      </c>
      <c r="BT36" s="7">
        <v>89.127742930799997</v>
      </c>
      <c r="BU36" s="7">
        <v>92.379596195900902</v>
      </c>
      <c r="BV36" s="7">
        <v>93.780203299450093</v>
      </c>
      <c r="BW36" s="7">
        <v>55.3333333333333</v>
      </c>
      <c r="BX36" s="7">
        <v>38.631646108039099</v>
      </c>
      <c r="BY36" s="7">
        <v>38.431071276141701</v>
      </c>
      <c r="BZ36" s="7">
        <v>2807</v>
      </c>
      <c r="CA36" s="7">
        <v>2804</v>
      </c>
      <c r="CB36" s="7">
        <v>2771</v>
      </c>
      <c r="CC36" s="6">
        <v>93.632542779945993</v>
      </c>
      <c r="CD36" s="7">
        <v>95.717903076190197</v>
      </c>
      <c r="CE36" s="7">
        <v>97.037535163548995</v>
      </c>
      <c r="CF36" s="13">
        <f t="shared" si="1"/>
        <v>2.1789592381767551</v>
      </c>
      <c r="CG36" s="13">
        <f t="shared" si="0"/>
        <v>2.2043253003192826</v>
      </c>
      <c r="CH36" s="19">
        <v>1</v>
      </c>
      <c r="CI36" s="38">
        <v>10.63013698630137</v>
      </c>
      <c r="CJ36" s="41">
        <v>31.544862936658198</v>
      </c>
      <c r="CK36" s="19">
        <v>141</v>
      </c>
      <c r="CL36" s="56">
        <v>86</v>
      </c>
      <c r="CM36" s="57">
        <v>81</v>
      </c>
      <c r="CN36" s="57">
        <v>77</v>
      </c>
      <c r="CO36" s="57">
        <v>71</v>
      </c>
      <c r="CP36" s="57">
        <v>89</v>
      </c>
      <c r="CQ36" s="57">
        <v>81</v>
      </c>
      <c r="CR36" s="58">
        <v>83</v>
      </c>
      <c r="CS36" s="59">
        <v>11</v>
      </c>
      <c r="CT36" s="60">
        <v>2</v>
      </c>
      <c r="CU36" s="60">
        <v>13</v>
      </c>
    </row>
    <row r="37" spans="1:99" x14ac:dyDescent="0.3">
      <c r="A37" s="12" t="s">
        <v>100</v>
      </c>
      <c r="B37" s="1" t="s">
        <v>138</v>
      </c>
      <c r="C37" s="13">
        <v>16.108779706044178</v>
      </c>
      <c r="D37" s="13">
        <v>22.941495893934615</v>
      </c>
      <c r="E37" s="13">
        <v>26.843710768813775</v>
      </c>
      <c r="F37" s="13">
        <v>9.4757267377874417</v>
      </c>
      <c r="G37" s="13">
        <v>16.478246430421461</v>
      </c>
      <c r="H37" s="13">
        <v>25.942517648599779</v>
      </c>
      <c r="I37" s="13">
        <v>9.1495738603255869</v>
      </c>
      <c r="J37" s="13">
        <v>11.061804607995176</v>
      </c>
      <c r="K37" s="13">
        <v>17.926538178604908</v>
      </c>
      <c r="L37" s="13">
        <v>84.198583241848695</v>
      </c>
      <c r="M37" s="13">
        <v>145.8315308573076</v>
      </c>
      <c r="N37" s="13">
        <v>490.17882358288853</v>
      </c>
      <c r="O37" s="13">
        <v>17.196302614236661</v>
      </c>
      <c r="P37" s="13">
        <v>40.315133344904083</v>
      </c>
      <c r="Q37" s="13">
        <v>22.673738888227192</v>
      </c>
      <c r="R37" s="14">
        <v>0.16450465843389703</v>
      </c>
      <c r="S37" s="14">
        <v>0.13117668895605467</v>
      </c>
      <c r="T37" s="14">
        <v>0.1697482541064167</v>
      </c>
      <c r="U37" s="14">
        <v>0.25532932885640219</v>
      </c>
      <c r="V37" s="14">
        <v>0.16617465870163653</v>
      </c>
      <c r="W37" s="14">
        <v>0.39539239508247381</v>
      </c>
      <c r="X37" s="13">
        <v>274.25847646325951</v>
      </c>
      <c r="Y37" s="13">
        <v>331.57759312465555</v>
      </c>
      <c r="Z37" s="13">
        <v>537.34798190368201</v>
      </c>
      <c r="AA37" s="13">
        <v>1.3968215355819729</v>
      </c>
      <c r="AB37" s="13">
        <v>1.4024358667707675</v>
      </c>
      <c r="AC37" s="13">
        <v>0.86684446092239431</v>
      </c>
      <c r="AD37" s="13">
        <v>2.7894111034439493</v>
      </c>
      <c r="AE37" s="13">
        <v>3.2969739156988069</v>
      </c>
      <c r="AF37" s="13">
        <v>5.3482989464553405</v>
      </c>
      <c r="AG37" s="13">
        <v>1.7099196136135399</v>
      </c>
      <c r="AH37" s="13">
        <v>2.979198140547461</v>
      </c>
      <c r="AI37" s="13">
        <v>4.8867985064507184</v>
      </c>
      <c r="AJ37" s="13">
        <v>2.4278392003485352</v>
      </c>
      <c r="AK37" s="13">
        <v>2.6714177823181893</v>
      </c>
      <c r="AL37" s="13">
        <v>4.7433839769753146</v>
      </c>
      <c r="AM37" s="13">
        <v>1.5506606489333898</v>
      </c>
      <c r="AN37" s="13">
        <v>2.9342505713941787</v>
      </c>
      <c r="AO37" s="13">
        <v>2.9541653322302817</v>
      </c>
      <c r="AP37" s="13">
        <v>0.89495733160958746</v>
      </c>
      <c r="AQ37" s="13">
        <v>1.321612363719266</v>
      </c>
      <c r="AR37" s="13">
        <v>1.5862769767248384</v>
      </c>
      <c r="AS37" s="13">
        <v>0.6644132981727493</v>
      </c>
      <c r="AT37" s="13">
        <v>1.0116353522952639</v>
      </c>
      <c r="AU37" s="13">
        <v>2.8699523360165666</v>
      </c>
      <c r="AV37" s="13">
        <v>9.2368880578578297E-2</v>
      </c>
      <c r="AW37" s="13">
        <v>9.04902264684848E-2</v>
      </c>
      <c r="AX37" s="13">
        <v>7.2955149718083895E-2</v>
      </c>
      <c r="AY37" s="13">
        <v>0.109541255980538</v>
      </c>
      <c r="AZ37" s="13">
        <v>7.3953900091037306E-2</v>
      </c>
      <c r="BA37" s="13">
        <v>9.4715801333476499E-2</v>
      </c>
      <c r="BB37" s="13">
        <v>1.51577665346538</v>
      </c>
      <c r="BC37" s="13">
        <v>1.5199189616179001</v>
      </c>
      <c r="BD37" s="13">
        <v>1.5499966307517501</v>
      </c>
      <c r="BE37" s="13">
        <v>1.49177140141489</v>
      </c>
      <c r="BF37" s="13">
        <v>1.55598868512366</v>
      </c>
      <c r="BG37" s="13">
        <v>1.6231481428139201</v>
      </c>
      <c r="BH37" s="7">
        <v>83.566515554166003</v>
      </c>
      <c r="BI37" s="7">
        <v>77.352064297637099</v>
      </c>
      <c r="BJ37" s="7">
        <v>90.827503905150905</v>
      </c>
      <c r="BK37" s="6">
        <v>29.647140381282501</v>
      </c>
      <c r="BL37" s="7">
        <v>24.118531889290001</v>
      </c>
      <c r="BM37" s="7">
        <v>38.973771856786001</v>
      </c>
      <c r="BN37" s="7">
        <v>2861</v>
      </c>
      <c r="BO37" s="7">
        <v>2879</v>
      </c>
      <c r="BP37" s="7">
        <v>2871</v>
      </c>
      <c r="BQ37" s="6">
        <v>92.3311139589335</v>
      </c>
      <c r="BR37" s="7">
        <v>89.384105897243103</v>
      </c>
      <c r="BS37" s="7">
        <v>95.486818812497006</v>
      </c>
      <c r="BT37" s="7">
        <v>83.644222709231798</v>
      </c>
      <c r="BU37" s="7">
        <v>90.339753256348203</v>
      </c>
      <c r="BV37" s="7">
        <v>92.907565328920995</v>
      </c>
      <c r="BW37" s="7">
        <v>37.956920256645297</v>
      </c>
      <c r="BX37" s="7">
        <v>38.129859034600599</v>
      </c>
      <c r="BY37" s="7">
        <v>35.985210466439099</v>
      </c>
      <c r="BZ37" s="7">
        <v>2814</v>
      </c>
      <c r="CA37" s="7">
        <v>2811</v>
      </c>
      <c r="CB37" s="7">
        <v>2858</v>
      </c>
      <c r="CC37" s="6">
        <v>91.091317357816095</v>
      </c>
      <c r="CD37" s="7">
        <v>94.782114096973402</v>
      </c>
      <c r="CE37" s="7">
        <v>95.504820574220403</v>
      </c>
      <c r="CF37" s="13">
        <f t="shared" si="1"/>
        <v>1.2089967004869389</v>
      </c>
      <c r="CG37" s="13">
        <f t="shared" si="0"/>
        <v>1.959275749042042</v>
      </c>
      <c r="CH37" s="40">
        <v>2</v>
      </c>
      <c r="CI37" s="38">
        <v>6.2054794520547949</v>
      </c>
      <c r="CJ37" s="41">
        <v>17.723430656001401</v>
      </c>
      <c r="CK37" s="40">
        <v>115</v>
      </c>
      <c r="CL37" s="56">
        <v>68</v>
      </c>
      <c r="CM37" s="57">
        <v>84</v>
      </c>
      <c r="CN37" s="57">
        <v>75</v>
      </c>
      <c r="CO37" s="57">
        <v>73</v>
      </c>
      <c r="CP37" s="57">
        <v>88</v>
      </c>
      <c r="CQ37" s="57">
        <v>79</v>
      </c>
      <c r="CR37" s="58">
        <v>82</v>
      </c>
      <c r="CS37" s="59">
        <v>10</v>
      </c>
      <c r="CT37" s="60">
        <v>0</v>
      </c>
      <c r="CU37" s="60">
        <v>10</v>
      </c>
    </row>
    <row r="38" spans="1:99" x14ac:dyDescent="0.3">
      <c r="A38" s="12" t="s">
        <v>101</v>
      </c>
      <c r="B38" s="1" t="s">
        <v>138</v>
      </c>
      <c r="C38" s="13">
        <v>45.770280468806838</v>
      </c>
      <c r="D38" s="13">
        <v>20.929602624629791</v>
      </c>
      <c r="E38" s="13">
        <v>45.482181876135179</v>
      </c>
      <c r="F38" s="13">
        <v>61.36801984880718</v>
      </c>
      <c r="G38" s="13">
        <v>37.313353913830014</v>
      </c>
      <c r="H38" s="13">
        <v>32.994086842346775</v>
      </c>
      <c r="I38" s="13">
        <v>18.57964950618063</v>
      </c>
      <c r="J38" s="13">
        <v>15.558310058038682</v>
      </c>
      <c r="K38" s="13">
        <v>19.467930195488076</v>
      </c>
      <c r="L38" s="13">
        <v>1043.7286805648414</v>
      </c>
      <c r="M38" s="13">
        <v>244.86670382567931</v>
      </c>
      <c r="N38" s="13">
        <v>721.68353523042038</v>
      </c>
      <c r="O38" s="13">
        <v>-54.835029960839101</v>
      </c>
      <c r="P38" s="13">
        <v>37.062221707069142</v>
      </c>
      <c r="Q38" s="13">
        <v>4.7482505306075122</v>
      </c>
      <c r="R38" s="14">
        <v>0.18991489294202962</v>
      </c>
      <c r="S38" s="14">
        <v>0.20960113960473029</v>
      </c>
      <c r="T38" s="14">
        <v>0.26660990735757656</v>
      </c>
      <c r="U38" s="14">
        <v>0.20841823699451706</v>
      </c>
      <c r="V38" s="14">
        <v>0.45103996113489736</v>
      </c>
      <c r="W38" s="14">
        <v>0.21547214174337082</v>
      </c>
      <c r="X38" s="13">
        <v>556.92499394776405</v>
      </c>
      <c r="Y38" s="13">
        <v>466.36034398970952</v>
      </c>
      <c r="Z38" s="13">
        <v>583.55120760975524</v>
      </c>
      <c r="AA38" s="13">
        <v>0.936022141908742</v>
      </c>
      <c r="AB38" s="13">
        <v>1.2456572809811659</v>
      </c>
      <c r="AC38" s="13">
        <v>1.4954950795117763</v>
      </c>
      <c r="AD38" s="13">
        <v>7.4788610444692853</v>
      </c>
      <c r="AE38" s="13">
        <v>3.6243027252918174</v>
      </c>
      <c r="AF38" s="13">
        <v>7.1431098546455027</v>
      </c>
      <c r="AG38" s="13">
        <v>9.2473745317152041</v>
      </c>
      <c r="AH38" s="13">
        <v>3.5893720460137581</v>
      </c>
      <c r="AI38" s="13">
        <v>5.3706774795683696</v>
      </c>
      <c r="AJ38" s="13">
        <v>6.9347502410575741</v>
      </c>
      <c r="AK38" s="13">
        <v>3.2818620019348237</v>
      </c>
      <c r="AL38" s="13">
        <v>6.5694802997191841</v>
      </c>
      <c r="AM38" s="13">
        <v>7.3822476895190858</v>
      </c>
      <c r="AN38" s="13">
        <v>2.0864218365984537</v>
      </c>
      <c r="AO38" s="13">
        <v>4.3992315494933045</v>
      </c>
      <c r="AP38" s="13">
        <v>1.5465925919065835</v>
      </c>
      <c r="AQ38" s="13">
        <v>1.4701800681575814</v>
      </c>
      <c r="AR38" s="13">
        <v>4.2257042703776326</v>
      </c>
      <c r="AS38" s="13">
        <v>2.8145741470986274</v>
      </c>
      <c r="AT38" s="13">
        <v>1.4476116571231028</v>
      </c>
      <c r="AU38" s="13">
        <v>2.1879686743104014</v>
      </c>
      <c r="AV38" s="13">
        <v>4.9915629143865402E-2</v>
      </c>
      <c r="AW38" s="13">
        <v>0.114415148923666</v>
      </c>
      <c r="AX38" s="13">
        <v>7.0105793965673499E-2</v>
      </c>
      <c r="AY38" s="13">
        <v>3.59865767720896E-2</v>
      </c>
      <c r="AZ38" s="13">
        <v>7.8048730661209501E-2</v>
      </c>
      <c r="BA38" s="13">
        <v>6.1785483528724303E-2</v>
      </c>
      <c r="BB38" s="13">
        <v>1.7380683242797701</v>
      </c>
      <c r="BC38" s="13">
        <v>1.4614605849219799</v>
      </c>
      <c r="BD38" s="13">
        <v>1.5706533124695199</v>
      </c>
      <c r="BE38" s="13">
        <v>1.7204276117549899</v>
      </c>
      <c r="BF38" s="13">
        <v>1.54653339761334</v>
      </c>
      <c r="BG38" s="13">
        <v>1.6003915612157</v>
      </c>
      <c r="BH38" s="7">
        <v>92.350511573297595</v>
      </c>
      <c r="BI38" s="7">
        <v>82.366523495973894</v>
      </c>
      <c r="BJ38" s="7">
        <v>79.938185424469694</v>
      </c>
      <c r="BK38" s="6">
        <v>39.557700942972602</v>
      </c>
      <c r="BL38" s="7">
        <v>27.547774869109901</v>
      </c>
      <c r="BM38" s="7">
        <v>28.777469670710602</v>
      </c>
      <c r="BN38" s="7">
        <v>2762</v>
      </c>
      <c r="BO38" s="7">
        <v>2859</v>
      </c>
      <c r="BP38" s="7">
        <v>2882</v>
      </c>
      <c r="BQ38" s="6">
        <v>96.341973784145495</v>
      </c>
      <c r="BR38" s="7">
        <v>91.547583438666905</v>
      </c>
      <c r="BS38" s="7">
        <v>89.616383587922201</v>
      </c>
      <c r="BT38" s="7">
        <v>90.192446885511103</v>
      </c>
      <c r="BU38" s="7">
        <v>81.730238532478396</v>
      </c>
      <c r="BV38" s="7">
        <v>76.9356502111265</v>
      </c>
      <c r="BW38" s="7">
        <v>32.753768844221099</v>
      </c>
      <c r="BX38" s="7">
        <v>30.0868119689693</v>
      </c>
      <c r="BY38" s="7">
        <v>30.343821949347699</v>
      </c>
      <c r="BZ38" s="7">
        <v>2741</v>
      </c>
      <c r="CA38" s="7">
        <v>2823</v>
      </c>
      <c r="CB38" s="7">
        <v>2867</v>
      </c>
      <c r="CC38" s="6">
        <v>95.263798403256402</v>
      </c>
      <c r="CD38" s="7">
        <v>91.158485301247694</v>
      </c>
      <c r="CE38" s="7">
        <v>87.6036309203961</v>
      </c>
      <c r="CF38" s="13">
        <f t="shared" si="1"/>
        <v>0.83738447557168016</v>
      </c>
      <c r="CG38" s="13">
        <f t="shared" si="0"/>
        <v>1.0478093351013953</v>
      </c>
      <c r="CH38" s="40">
        <v>2</v>
      </c>
      <c r="CI38" s="38">
        <v>10.273972602739725</v>
      </c>
      <c r="CJ38" s="41">
        <v>39.4792879769156</v>
      </c>
      <c r="CK38" s="40">
        <v>139</v>
      </c>
      <c r="CL38" s="56">
        <v>73</v>
      </c>
      <c r="CM38" s="57">
        <v>76</v>
      </c>
      <c r="CN38" s="57">
        <v>78</v>
      </c>
      <c r="CO38" s="57">
        <v>73</v>
      </c>
      <c r="CP38" s="57">
        <v>73</v>
      </c>
      <c r="CQ38" s="57">
        <v>78</v>
      </c>
      <c r="CR38" s="58">
        <v>78</v>
      </c>
      <c r="CS38" s="59">
        <v>11</v>
      </c>
      <c r="CT38" s="60">
        <v>3</v>
      </c>
      <c r="CU38" s="60">
        <v>14</v>
      </c>
    </row>
    <row r="39" spans="1:99" x14ac:dyDescent="0.3">
      <c r="A39" s="12" t="s">
        <v>102</v>
      </c>
      <c r="B39" s="1" t="s">
        <v>138</v>
      </c>
      <c r="C39" s="13">
        <v>23.793301239085672</v>
      </c>
      <c r="D39" s="13">
        <v>33.781487221937624</v>
      </c>
      <c r="E39" s="13">
        <v>32.837410009225309</v>
      </c>
      <c r="F39" s="13">
        <v>22.073437787388126</v>
      </c>
      <c r="G39" s="13">
        <v>24.707878376645905</v>
      </c>
      <c r="H39" s="13">
        <v>44.84394227275088</v>
      </c>
      <c r="I39" s="13">
        <v>15.551065330385839</v>
      </c>
      <c r="J39" s="13">
        <v>19.973011621259928</v>
      </c>
      <c r="K39" s="13">
        <v>27.282722980049734</v>
      </c>
      <c r="L39" s="13">
        <v>323.70181773453714</v>
      </c>
      <c r="M39" s="13">
        <v>563.46305103749125</v>
      </c>
      <c r="N39" s="13">
        <v>1098.4504212516356</v>
      </c>
      <c r="O39" s="13">
        <v>-65.300966510798489</v>
      </c>
      <c r="P39" s="13">
        <v>10.630409011711631</v>
      </c>
      <c r="Q39" s="13">
        <v>-61.613566136705941</v>
      </c>
      <c r="R39" s="14">
        <v>0.25967031965033488</v>
      </c>
      <c r="S39" s="14">
        <v>0.15487957089653343</v>
      </c>
      <c r="T39" s="14">
        <v>0.22131101213251825</v>
      </c>
      <c r="U39" s="14">
        <v>0.14373563919037707</v>
      </c>
      <c r="V39" s="14">
        <v>0.2321456115206445</v>
      </c>
      <c r="W39" s="14">
        <v>0.19991856658545012</v>
      </c>
      <c r="X39" s="13">
        <v>466.14318327831563</v>
      </c>
      <c r="Y39" s="13">
        <v>598.69102334726642</v>
      </c>
      <c r="Z39" s="13">
        <v>817.79962132699086</v>
      </c>
      <c r="AA39" s="13">
        <v>1.3482247412903561</v>
      </c>
      <c r="AB39" s="13">
        <v>1.5308859788994515</v>
      </c>
      <c r="AC39" s="13">
        <v>0.9603994345528496</v>
      </c>
      <c r="AD39" s="13">
        <v>3.9244409187202876</v>
      </c>
      <c r="AE39" s="13">
        <v>6.7432919132155922</v>
      </c>
      <c r="AF39" s="13">
        <v>7.1654673749793787</v>
      </c>
      <c r="AG39" s="13">
        <v>4.4230133542051711</v>
      </c>
      <c r="AH39" s="13">
        <v>4.4960877054262642</v>
      </c>
      <c r="AI39" s="13">
        <v>8.3875196512160617</v>
      </c>
      <c r="AJ39" s="13">
        <v>3.5941004712497153</v>
      </c>
      <c r="AK39" s="13">
        <v>5.8882049460388801</v>
      </c>
      <c r="AL39" s="13">
        <v>6.1797809623809785</v>
      </c>
      <c r="AM39" s="13">
        <v>3.7697166098133725</v>
      </c>
      <c r="AN39" s="13">
        <v>3.1685776491566218</v>
      </c>
      <c r="AO39" s="13">
        <v>6.9908070772259094</v>
      </c>
      <c r="AP39" s="13">
        <v>1.2756698291116249</v>
      </c>
      <c r="AQ39" s="13">
        <v>1.9872359834269686</v>
      </c>
      <c r="AR39" s="13">
        <v>2.3897381828194155</v>
      </c>
      <c r="AS39" s="13">
        <v>1.8445869811601616</v>
      </c>
      <c r="AT39" s="13">
        <v>1.668208211235501</v>
      </c>
      <c r="AU39" s="13">
        <v>3.3406491939890892</v>
      </c>
      <c r="AV39" s="13">
        <v>0.113176052491677</v>
      </c>
      <c r="AW39" s="13">
        <v>8.2052944133285594E-2</v>
      </c>
      <c r="AX39" s="13">
        <v>9.1497087707387903E-2</v>
      </c>
      <c r="AY39" s="13">
        <v>6.9028175721192506E-2</v>
      </c>
      <c r="AZ39" s="13">
        <v>8.1687804417904603E-2</v>
      </c>
      <c r="BA39" s="13">
        <v>8.0554300709539506E-2</v>
      </c>
      <c r="BB39" s="13">
        <v>1.5183258926673999</v>
      </c>
      <c r="BC39" s="13">
        <v>1.5383257069409499</v>
      </c>
      <c r="BD39" s="13">
        <v>1.5730009697043801</v>
      </c>
      <c r="BE39" s="13">
        <v>1.5860962870277899</v>
      </c>
      <c r="BF39" s="13">
        <v>1.5584800983184799</v>
      </c>
      <c r="BG39" s="13">
        <v>1.59174982210742</v>
      </c>
      <c r="BH39" s="7">
        <v>82.260255365389796</v>
      </c>
      <c r="BI39" s="7">
        <v>88.878266076925499</v>
      </c>
      <c r="BJ39" s="7">
        <v>86.966517450221801</v>
      </c>
      <c r="BK39" s="6">
        <v>32.496742046761199</v>
      </c>
      <c r="BL39" s="7">
        <v>34.756368118323799</v>
      </c>
      <c r="BM39" s="7">
        <v>39.498160073597099</v>
      </c>
      <c r="BN39" s="7">
        <v>2871</v>
      </c>
      <c r="BO39" s="7">
        <v>2759</v>
      </c>
      <c r="BP39" s="7">
        <v>2810</v>
      </c>
      <c r="BQ39" s="6">
        <v>90.797002985531705</v>
      </c>
      <c r="BR39" s="7">
        <v>95.276140964965904</v>
      </c>
      <c r="BS39" s="7">
        <v>93.472866436663395</v>
      </c>
      <c r="BT39" s="7">
        <v>90.192698886695496</v>
      </c>
      <c r="BU39" s="7">
        <v>89.455918754708506</v>
      </c>
      <c r="BV39" s="7">
        <v>91.148678796291705</v>
      </c>
      <c r="BW39" s="7">
        <v>36.677261613691897</v>
      </c>
      <c r="BX39" s="7">
        <v>39.410344827586201</v>
      </c>
      <c r="BY39" s="7">
        <v>41.6907029478458</v>
      </c>
      <c r="BZ39" s="7">
        <v>2825</v>
      </c>
      <c r="CA39" s="7">
        <v>2859</v>
      </c>
      <c r="CB39" s="7">
        <v>2840</v>
      </c>
      <c r="CC39" s="6">
        <v>95.439499634409003</v>
      </c>
      <c r="CD39" s="7">
        <v>95.195341522013905</v>
      </c>
      <c r="CE39" s="7">
        <v>96.139349110979694</v>
      </c>
      <c r="CF39" s="13">
        <f t="shared" si="1"/>
        <v>1.2843500555703971</v>
      </c>
      <c r="CG39" s="13">
        <f t="shared" si="0"/>
        <v>1.754395753629878</v>
      </c>
      <c r="CH39" s="40">
        <v>1</v>
      </c>
      <c r="CI39" s="38">
        <v>7.6082191780821917</v>
      </c>
      <c r="CJ39" s="41">
        <v>22.842419312403798</v>
      </c>
      <c r="CK39" s="40">
        <v>125</v>
      </c>
      <c r="CL39" s="56">
        <v>67</v>
      </c>
      <c r="CM39" s="57">
        <v>68</v>
      </c>
      <c r="CN39" s="57">
        <v>70</v>
      </c>
      <c r="CO39" s="57">
        <v>62</v>
      </c>
      <c r="CP39" s="57">
        <v>62</v>
      </c>
      <c r="CQ39" s="57">
        <v>70</v>
      </c>
      <c r="CR39" s="58">
        <v>68</v>
      </c>
      <c r="CS39" s="59">
        <v>7</v>
      </c>
      <c r="CT39" s="60">
        <v>6</v>
      </c>
      <c r="CU39" s="60">
        <v>13</v>
      </c>
    </row>
    <row r="40" spans="1:99" x14ac:dyDescent="0.3">
      <c r="A40" s="12" t="s">
        <v>103</v>
      </c>
      <c r="B40" s="1" t="s">
        <v>138</v>
      </c>
      <c r="C40" s="13">
        <v>15.690274516648198</v>
      </c>
      <c r="D40" s="13">
        <v>20.786198518591558</v>
      </c>
      <c r="E40" s="13">
        <v>50.121766706749554</v>
      </c>
      <c r="F40" s="13">
        <v>13.900859388508499</v>
      </c>
      <c r="G40" s="13">
        <v>29.144822343612091</v>
      </c>
      <c r="H40" s="13">
        <v>32.563653820925076</v>
      </c>
      <c r="I40" s="13">
        <v>10.493808370601471</v>
      </c>
      <c r="J40" s="13">
        <v>15.76967429692451</v>
      </c>
      <c r="K40" s="13">
        <v>25.369821869730583</v>
      </c>
      <c r="L40" s="13">
        <v>169.9487307992585</v>
      </c>
      <c r="M40" s="13">
        <v>268.25236538017219</v>
      </c>
      <c r="N40" s="13">
        <v>1106.853746095521</v>
      </c>
      <c r="O40" s="13">
        <v>-41.573069154653069</v>
      </c>
      <c r="P40" s="13">
        <v>-54.510630821665728</v>
      </c>
      <c r="Q40" s="13">
        <v>-25.813629796346675</v>
      </c>
      <c r="R40" s="14">
        <v>0.18438764520580683</v>
      </c>
      <c r="S40" s="14">
        <v>0.44102405495058672</v>
      </c>
      <c r="T40" s="14">
        <v>0.22987557040472223</v>
      </c>
      <c r="U40" s="14">
        <v>0.32750336666573621</v>
      </c>
      <c r="V40" s="14">
        <v>0.34140497980300794</v>
      </c>
      <c r="W40" s="14">
        <v>0.19627562487711014</v>
      </c>
      <c r="X40" s="13">
        <v>314.55190590877913</v>
      </c>
      <c r="Y40" s="13">
        <v>472.69598705031183</v>
      </c>
      <c r="Z40" s="13">
        <v>760.46041054517366</v>
      </c>
      <c r="AA40" s="13">
        <v>1.0744856810474226</v>
      </c>
      <c r="AB40" s="13">
        <v>1.0845473028497736</v>
      </c>
      <c r="AC40" s="13">
        <v>1.0167302380815637</v>
      </c>
      <c r="AD40" s="13">
        <v>3.5518320565168371</v>
      </c>
      <c r="AE40" s="13">
        <v>3.7311719515625028</v>
      </c>
      <c r="AF40" s="13">
        <v>9.6053770004687475</v>
      </c>
      <c r="AG40" s="13">
        <v>3.290828237592704</v>
      </c>
      <c r="AH40" s="13">
        <v>4.4507007817146542</v>
      </c>
      <c r="AI40" s="13">
        <v>6.8183387536633173</v>
      </c>
      <c r="AJ40" s="13">
        <v>3.2387237404771452</v>
      </c>
      <c r="AK40" s="13">
        <v>3.0803980221281013</v>
      </c>
      <c r="AL40" s="13">
        <v>8.336632220274204</v>
      </c>
      <c r="AM40" s="13">
        <v>3.0331462888886787</v>
      </c>
      <c r="AN40" s="13">
        <v>3.6428328339594827</v>
      </c>
      <c r="AO40" s="13">
        <v>5.3606147145931002</v>
      </c>
      <c r="AP40" s="13">
        <v>1.1551065597816992</v>
      </c>
      <c r="AQ40" s="13">
        <v>1.5993172778048668</v>
      </c>
      <c r="AR40" s="13">
        <v>2.8665974878967666</v>
      </c>
      <c r="AS40" s="13">
        <v>1.0564578941516996</v>
      </c>
      <c r="AT40" s="13">
        <v>2.1305138387004683</v>
      </c>
      <c r="AU40" s="13">
        <v>2.8759531523200157</v>
      </c>
      <c r="AV40" s="13">
        <v>7.2363649520353193E-2</v>
      </c>
      <c r="AW40" s="13">
        <v>0.107533496070362</v>
      </c>
      <c r="AX40" s="13">
        <v>5.8093226397409103E-2</v>
      </c>
      <c r="AY40" s="13">
        <v>7.2724613436646005E-2</v>
      </c>
      <c r="AZ40" s="13">
        <v>7.2045472498178706E-2</v>
      </c>
      <c r="BA40" s="13">
        <v>8.1303188172988303E-2</v>
      </c>
      <c r="BB40" s="13">
        <v>1.53020379275061</v>
      </c>
      <c r="BC40" s="13">
        <v>1.4264990186326201</v>
      </c>
      <c r="BD40" s="13">
        <v>1.63055866917644</v>
      </c>
      <c r="BE40" s="13">
        <v>1.48425226528351</v>
      </c>
      <c r="BF40" s="13">
        <v>1.52851420744885</v>
      </c>
      <c r="BG40" s="13">
        <v>1.54739914497386</v>
      </c>
      <c r="BH40" s="7">
        <v>89.531800372026794</v>
      </c>
      <c r="BI40" s="7">
        <v>88.481190948625994</v>
      </c>
      <c r="BJ40" s="7">
        <v>92.566093621790401</v>
      </c>
      <c r="BK40" s="6">
        <v>40.003536693191897</v>
      </c>
      <c r="BL40" s="7">
        <v>33.618359374999997</v>
      </c>
      <c r="BM40" s="7">
        <v>34.828689759036102</v>
      </c>
      <c r="BN40" s="7">
        <v>2843</v>
      </c>
      <c r="BO40" s="7">
        <v>2789</v>
      </c>
      <c r="BP40" s="7">
        <v>2827</v>
      </c>
      <c r="BQ40" s="6">
        <v>95.490291735779095</v>
      </c>
      <c r="BR40" s="7">
        <v>94.048367152500504</v>
      </c>
      <c r="BS40" s="7">
        <v>96.698997513517796</v>
      </c>
      <c r="BT40" s="7">
        <v>82.644741618672896</v>
      </c>
      <c r="BU40" s="7">
        <v>81.106292525076199</v>
      </c>
      <c r="BV40" s="7">
        <v>88.031761261834603</v>
      </c>
      <c r="BW40" s="7">
        <v>28.758620689655199</v>
      </c>
      <c r="BX40" s="7">
        <v>29.3003085361673</v>
      </c>
      <c r="BY40" s="7">
        <v>29.971</v>
      </c>
      <c r="BZ40" s="7">
        <v>2855</v>
      </c>
      <c r="CA40" s="7">
        <v>2903</v>
      </c>
      <c r="CB40" s="7">
        <v>2858</v>
      </c>
      <c r="CC40" s="6">
        <v>91.037822565819397</v>
      </c>
      <c r="CD40" s="7">
        <v>88.705057520757094</v>
      </c>
      <c r="CE40" s="7">
        <v>93.624869045492503</v>
      </c>
      <c r="CF40" s="13">
        <f t="shared" si="1"/>
        <v>1.5027598884980049</v>
      </c>
      <c r="CG40" s="13">
        <f t="shared" si="0"/>
        <v>2.4175991188103279</v>
      </c>
      <c r="CH40" s="40">
        <v>2</v>
      </c>
      <c r="CI40" s="38">
        <v>10.865753424657534</v>
      </c>
      <c r="CJ40" s="41">
        <v>31.260605386430299</v>
      </c>
      <c r="CK40" s="40">
        <v>145</v>
      </c>
      <c r="CL40" s="56">
        <v>78</v>
      </c>
      <c r="CM40" s="57">
        <v>71</v>
      </c>
      <c r="CN40" s="57">
        <v>73</v>
      </c>
      <c r="CO40" s="57">
        <v>58</v>
      </c>
      <c r="CP40" s="57">
        <v>66</v>
      </c>
      <c r="CQ40" s="57">
        <v>72</v>
      </c>
      <c r="CR40" s="58">
        <v>71</v>
      </c>
      <c r="CS40" s="59">
        <v>5</v>
      </c>
      <c r="CT40" s="60">
        <v>1</v>
      </c>
      <c r="CU40" s="60">
        <v>6</v>
      </c>
    </row>
    <row r="41" spans="1:99" x14ac:dyDescent="0.3">
      <c r="A41" s="12" t="s">
        <v>104</v>
      </c>
      <c r="B41" s="1" t="s">
        <v>138</v>
      </c>
      <c r="C41" s="13">
        <v>25.797549213879797</v>
      </c>
      <c r="D41" s="13">
        <v>22.396062998254695</v>
      </c>
      <c r="E41" s="13">
        <v>50.931140607196397</v>
      </c>
      <c r="F41" s="13">
        <v>18.665799072224821</v>
      </c>
      <c r="G41" s="13">
        <v>13.135061817429378</v>
      </c>
      <c r="H41" s="13">
        <v>34.526095293258145</v>
      </c>
      <c r="I41" s="13">
        <v>10.711128865261303</v>
      </c>
      <c r="J41" s="13">
        <v>10.011940742752003</v>
      </c>
      <c r="K41" s="13">
        <v>21.528171013344281</v>
      </c>
      <c r="L41" s="13">
        <v>458.07365536347174</v>
      </c>
      <c r="M41" s="13">
        <v>182.82445297847704</v>
      </c>
      <c r="N41" s="13">
        <v>1119.3103368233833</v>
      </c>
      <c r="O41" s="13">
        <v>-57.76095422609017</v>
      </c>
      <c r="P41" s="13">
        <v>6.2106385370834003</v>
      </c>
      <c r="Q41" s="13">
        <v>9.1912303117504415</v>
      </c>
      <c r="R41" s="14">
        <v>9.9428142247404205E-2</v>
      </c>
      <c r="S41" s="14">
        <v>0.27245994013720021</v>
      </c>
      <c r="T41" s="14">
        <v>0.1333260800641585</v>
      </c>
      <c r="U41" s="14">
        <v>0.15202205080489656</v>
      </c>
      <c r="V41" s="14">
        <v>0.47083772159231368</v>
      </c>
      <c r="W41" s="14">
        <v>0.25487036602419694</v>
      </c>
      <c r="X41" s="13">
        <v>321.06608773620769</v>
      </c>
      <c r="Y41" s="13">
        <v>300.10792376399115</v>
      </c>
      <c r="Z41" s="13">
        <v>645.30692612499479</v>
      </c>
      <c r="AA41" s="13">
        <v>1.5873957091315405</v>
      </c>
      <c r="AB41" s="13">
        <v>1.5531659806281199</v>
      </c>
      <c r="AC41" s="13">
        <v>1.3140959495402131</v>
      </c>
      <c r="AD41" s="13">
        <v>4.6878505678832685</v>
      </c>
      <c r="AE41" s="13">
        <v>4.4155148407179272</v>
      </c>
      <c r="AF41" s="13">
        <v>10.425310870157649</v>
      </c>
      <c r="AG41" s="13">
        <v>5.5528327448536876</v>
      </c>
      <c r="AH41" s="13">
        <v>2.2281150974601474</v>
      </c>
      <c r="AI41" s="13">
        <v>5.823852586480446</v>
      </c>
      <c r="AJ41" s="13">
        <v>4.3850820257241487</v>
      </c>
      <c r="AK41" s="13">
        <v>4.0025365108737727</v>
      </c>
      <c r="AL41" s="13">
        <v>8.214137876480633</v>
      </c>
      <c r="AM41" s="13">
        <v>5.340242084561142</v>
      </c>
      <c r="AN41" s="13">
        <v>1.6439707225815736</v>
      </c>
      <c r="AO41" s="13">
        <v>4.3278186764172286</v>
      </c>
      <c r="AP41" s="13">
        <v>1.1591641039358958</v>
      </c>
      <c r="AQ41" s="13">
        <v>1.0857847064500996</v>
      </c>
      <c r="AR41" s="13">
        <v>2.884013787490153</v>
      </c>
      <c r="AS41" s="13">
        <v>1.1803010297553473</v>
      </c>
      <c r="AT41" s="13">
        <v>1.1658491123454222</v>
      </c>
      <c r="AU41" s="13">
        <v>2.9859331742792361</v>
      </c>
      <c r="AV41" s="13">
        <v>6.3934991616668504E-2</v>
      </c>
      <c r="AW41" s="13">
        <v>6.1783629563379502E-2</v>
      </c>
      <c r="AX41" s="13">
        <v>4.32253088020082E-2</v>
      </c>
      <c r="AY41" s="13">
        <v>3.2709889095840397E-2</v>
      </c>
      <c r="AZ41" s="13">
        <v>8.3968356732671501E-2</v>
      </c>
      <c r="BA41" s="13">
        <v>0.11797236008579901</v>
      </c>
      <c r="BB41" s="13">
        <v>1.5902706354238101</v>
      </c>
      <c r="BC41" s="13">
        <v>1.68125716756542</v>
      </c>
      <c r="BD41" s="13">
        <v>1.5637849576682501</v>
      </c>
      <c r="BE41" s="13">
        <v>1.56780083962003</v>
      </c>
      <c r="BF41" s="13">
        <v>1.4966043902619099</v>
      </c>
      <c r="BG41" s="13">
        <v>1.4279662489877201</v>
      </c>
      <c r="BH41" s="7">
        <v>84.833305882011004</v>
      </c>
      <c r="BI41" s="7">
        <v>92.633526962422295</v>
      </c>
      <c r="BJ41" s="7">
        <v>91.206910199073903</v>
      </c>
      <c r="BK41" s="6">
        <v>35.564175467099901</v>
      </c>
      <c r="BL41" s="7">
        <v>41.906976744185997</v>
      </c>
      <c r="BM41" s="7">
        <v>37.035355564483702</v>
      </c>
      <c r="BN41" s="7">
        <v>2873</v>
      </c>
      <c r="BO41" s="7">
        <v>2789</v>
      </c>
      <c r="BP41" s="7">
        <v>2843</v>
      </c>
      <c r="BQ41" s="6">
        <v>92.1395126612518</v>
      </c>
      <c r="BR41" s="7">
        <v>96.375937563348899</v>
      </c>
      <c r="BS41" s="7">
        <v>95.682993462776906</v>
      </c>
      <c r="BT41" s="7">
        <v>92.3819320485281</v>
      </c>
      <c r="BU41" s="7">
        <v>86.660657954033397</v>
      </c>
      <c r="BV41" s="7">
        <v>79.696899134551899</v>
      </c>
      <c r="BW41" s="7">
        <v>44.3607748184019</v>
      </c>
      <c r="BX41" s="7">
        <v>32.794267053700999</v>
      </c>
      <c r="BY41" s="7">
        <v>27.987052810902899</v>
      </c>
      <c r="BZ41" s="7">
        <v>2816</v>
      </c>
      <c r="CA41" s="7">
        <v>2888</v>
      </c>
      <c r="CB41" s="7">
        <v>2871</v>
      </c>
      <c r="CC41" s="6">
        <v>96.434732890844501</v>
      </c>
      <c r="CD41" s="7">
        <v>93.028963234424893</v>
      </c>
      <c r="CE41" s="7">
        <v>89.175055500267902</v>
      </c>
      <c r="CF41" s="13">
        <f t="shared" si="1"/>
        <v>0.93472320879483217</v>
      </c>
      <c r="CG41" s="13">
        <f t="shared" si="0"/>
        <v>2.0098881531679789</v>
      </c>
      <c r="CH41" s="40">
        <v>1</v>
      </c>
      <c r="CI41" s="38">
        <v>11.136986301369863</v>
      </c>
      <c r="CJ41" s="41">
        <v>30.895450003813899</v>
      </c>
      <c r="CK41" s="40">
        <v>149</v>
      </c>
      <c r="CL41" s="56">
        <v>45</v>
      </c>
      <c r="CM41" s="57">
        <v>65</v>
      </c>
      <c r="CN41" s="57">
        <v>54</v>
      </c>
      <c r="CO41" s="57">
        <v>52</v>
      </c>
      <c r="CP41" s="57">
        <v>68</v>
      </c>
      <c r="CQ41" s="57">
        <v>55</v>
      </c>
      <c r="CR41" s="58">
        <v>58</v>
      </c>
      <c r="CS41" s="59">
        <v>7</v>
      </c>
      <c r="CT41" s="60">
        <v>1</v>
      </c>
      <c r="CU41" s="60">
        <v>8</v>
      </c>
    </row>
    <row r="42" spans="1:99" x14ac:dyDescent="0.3">
      <c r="A42" s="12" t="s">
        <v>105</v>
      </c>
      <c r="B42" s="1" t="s">
        <v>138</v>
      </c>
      <c r="C42" s="13">
        <v>37.533322556612717</v>
      </c>
      <c r="D42" s="13">
        <v>37.961302971375488</v>
      </c>
      <c r="E42" s="13">
        <v>24.144125776537798</v>
      </c>
      <c r="F42" s="13">
        <v>26.012366521767738</v>
      </c>
      <c r="G42" s="13">
        <v>23.567510779854217</v>
      </c>
      <c r="H42" s="13">
        <v>33.622266966875529</v>
      </c>
      <c r="I42" s="13">
        <v>12.626730336693798</v>
      </c>
      <c r="J42" s="13">
        <v>15.836300601577804</v>
      </c>
      <c r="K42" s="13">
        <v>19.987625491430176</v>
      </c>
      <c r="L42" s="13">
        <v>646.59787655552248</v>
      </c>
      <c r="M42" s="13">
        <v>485.96671337934106</v>
      </c>
      <c r="N42" s="13">
        <v>519.79221970236915</v>
      </c>
      <c r="O42" s="13">
        <v>12.251391318909349</v>
      </c>
      <c r="P42" s="13">
        <v>15.5139631976412</v>
      </c>
      <c r="Q42" s="13">
        <v>-73.414335151991878</v>
      </c>
      <c r="R42" s="14">
        <v>0.11662410701923127</v>
      </c>
      <c r="S42" s="14">
        <v>0.10966950768744983</v>
      </c>
      <c r="T42" s="14">
        <v>0.26311439033130274</v>
      </c>
      <c r="U42" s="14">
        <v>0.10070820303360169</v>
      </c>
      <c r="V42" s="14">
        <v>0.36501402018377777</v>
      </c>
      <c r="W42" s="14">
        <v>0.46370542237925866</v>
      </c>
      <c r="X42" s="13">
        <v>378.48624184239651</v>
      </c>
      <c r="Y42" s="13">
        <v>474.69311053229478</v>
      </c>
      <c r="Z42" s="13">
        <v>599.12907410561957</v>
      </c>
      <c r="AA42" s="13">
        <v>1.1664249010787473</v>
      </c>
      <c r="AB42" s="13">
        <v>1.1888991897800449</v>
      </c>
      <c r="AC42" s="13">
        <v>1.0245217954400636</v>
      </c>
      <c r="AD42" s="13">
        <v>6.9596497496435807</v>
      </c>
      <c r="AE42" s="13">
        <v>5.9133426454174529</v>
      </c>
      <c r="AF42" s="13">
        <v>4.8711574015154318</v>
      </c>
      <c r="AG42" s="13">
        <v>4.9926736886562786</v>
      </c>
      <c r="AH42" s="13">
        <v>4.4325261593138405</v>
      </c>
      <c r="AI42" s="13">
        <v>5.6958607131015135</v>
      </c>
      <c r="AJ42" s="13">
        <v>6.8802599936827953</v>
      </c>
      <c r="AK42" s="13">
        <v>5.4869467468877975</v>
      </c>
      <c r="AL42" s="13">
        <v>3.7370324621167819</v>
      </c>
      <c r="AM42" s="13">
        <v>4.2439240790244348</v>
      </c>
      <c r="AN42" s="13">
        <v>3.9883879593975315</v>
      </c>
      <c r="AO42" s="13">
        <v>3.887325834607489</v>
      </c>
      <c r="AP42" s="13">
        <v>1.5027959711536698</v>
      </c>
      <c r="AQ42" s="13">
        <v>1.7591214945578855</v>
      </c>
      <c r="AR42" s="13">
        <v>2.1804435986086803</v>
      </c>
      <c r="AS42" s="13">
        <v>1.6773341638394084</v>
      </c>
      <c r="AT42" s="13">
        <v>2.0689155132857264</v>
      </c>
      <c r="AU42" s="13">
        <v>3.9026162232704551</v>
      </c>
      <c r="AV42" s="13">
        <v>4.0989426469518801E-2</v>
      </c>
      <c r="AW42" s="13">
        <v>6.4259369215902196E-2</v>
      </c>
      <c r="AX42" s="13">
        <v>0.103348383326092</v>
      </c>
      <c r="AY42" s="13">
        <v>5.0256445991998501E-2</v>
      </c>
      <c r="AZ42" s="13">
        <v>7.6506573293877694E-2</v>
      </c>
      <c r="BA42" s="13">
        <v>8.3232214303180105E-2</v>
      </c>
      <c r="BB42" s="13">
        <v>1.6081408854708801</v>
      </c>
      <c r="BC42" s="13">
        <v>1.5856482932440099</v>
      </c>
      <c r="BD42" s="13">
        <v>1.5878488501845101</v>
      </c>
      <c r="BE42" s="13">
        <v>1.67081911490303</v>
      </c>
      <c r="BF42" s="13">
        <v>1.53622737059176</v>
      </c>
      <c r="BG42" s="13">
        <v>1.6049349533478801</v>
      </c>
      <c r="BH42" s="7">
        <v>93.943044906900298</v>
      </c>
      <c r="BI42" s="7">
        <v>90.839461989224105</v>
      </c>
      <c r="BJ42" s="7">
        <v>86.379205542101303</v>
      </c>
      <c r="BK42" s="6">
        <v>45.600289995166797</v>
      </c>
      <c r="BL42" s="7">
        <v>33.270075621173902</v>
      </c>
      <c r="BM42" s="7">
        <v>29.683687002652501</v>
      </c>
      <c r="BN42" s="7">
        <v>2834</v>
      </c>
      <c r="BO42" s="7">
        <v>2852</v>
      </c>
      <c r="BP42" s="7">
        <v>2879</v>
      </c>
      <c r="BQ42" s="6">
        <v>97.2350818625887</v>
      </c>
      <c r="BR42" s="7">
        <v>96.407603663177696</v>
      </c>
      <c r="BS42" s="7">
        <v>92.9479554257111</v>
      </c>
      <c r="BT42" s="7">
        <v>96.113175779726106</v>
      </c>
      <c r="BU42" s="7">
        <v>90.3643472071914</v>
      </c>
      <c r="BV42" s="7">
        <v>96.820952230181703</v>
      </c>
      <c r="BW42" s="7">
        <v>59.328263624841597</v>
      </c>
      <c r="BX42" s="7">
        <v>31.686837606837599</v>
      </c>
      <c r="BY42" s="7">
        <v>68.622019635343605</v>
      </c>
      <c r="BZ42" s="7">
        <v>2791</v>
      </c>
      <c r="CA42" s="7">
        <v>2864</v>
      </c>
      <c r="CB42" s="7">
        <v>2843</v>
      </c>
      <c r="CC42" s="6">
        <v>98.632112710268999</v>
      </c>
      <c r="CD42" s="7">
        <v>95.857672392655701</v>
      </c>
      <c r="CE42" s="7">
        <v>98.018831105473694</v>
      </c>
      <c r="CF42" s="13">
        <f t="shared" si="1"/>
        <v>1.2541885491572486</v>
      </c>
      <c r="CG42" s="13">
        <f t="shared" si="0"/>
        <v>1.5829613018142408</v>
      </c>
      <c r="CH42" s="42">
        <v>2</v>
      </c>
      <c r="CI42" s="38">
        <v>8.7260273972602747</v>
      </c>
      <c r="CJ42" s="43">
        <v>30.4062434561835</v>
      </c>
      <c r="CK42" s="42">
        <v>138</v>
      </c>
      <c r="CL42" s="66">
        <v>75</v>
      </c>
      <c r="CM42" s="67">
        <v>69</v>
      </c>
      <c r="CN42" s="67">
        <v>64</v>
      </c>
      <c r="CO42" s="67">
        <v>67</v>
      </c>
      <c r="CP42" s="67">
        <v>72</v>
      </c>
      <c r="CQ42" s="67">
        <v>69</v>
      </c>
      <c r="CR42" s="68">
        <v>70</v>
      </c>
      <c r="CS42" s="59">
        <v>9</v>
      </c>
      <c r="CT42" s="60">
        <v>3</v>
      </c>
      <c r="CU42" s="60">
        <v>12</v>
      </c>
    </row>
    <row r="43" spans="1:99" ht="15" thickBot="1" x14ac:dyDescent="0.35">
      <c r="A43" s="12" t="s">
        <v>106</v>
      </c>
      <c r="B43" s="1" t="s">
        <v>138</v>
      </c>
      <c r="C43" s="13">
        <v>20.451518737337853</v>
      </c>
      <c r="D43" s="13">
        <v>56.461446271834362</v>
      </c>
      <c r="E43" s="13">
        <v>30.620300353832576</v>
      </c>
      <c r="F43" s="13">
        <v>22.374696541834521</v>
      </c>
      <c r="G43" s="13">
        <v>32.946600254868173</v>
      </c>
      <c r="H43" s="13">
        <v>27.832472680446479</v>
      </c>
      <c r="I43" s="13">
        <v>13.892462317637047</v>
      </c>
      <c r="J43" s="13">
        <v>25.357686997489942</v>
      </c>
      <c r="K43" s="13">
        <v>23.867190292097067</v>
      </c>
      <c r="L43" s="13">
        <v>348.12303689180817</v>
      </c>
      <c r="M43" s="13">
        <v>872.27426630687523</v>
      </c>
      <c r="N43" s="13">
        <v>734.36397649561457</v>
      </c>
      <c r="O43" s="13">
        <v>-30.567553305601368</v>
      </c>
      <c r="P43" s="13">
        <v>23.220664959880214</v>
      </c>
      <c r="Q43" s="13">
        <v>33.259401991423992</v>
      </c>
      <c r="R43" s="14">
        <v>0.11620833168077231</v>
      </c>
      <c r="S43" s="14">
        <v>0.2198262076665253</v>
      </c>
      <c r="T43" s="14">
        <v>0.19646615955009436</v>
      </c>
      <c r="U43" s="14">
        <v>0.1733778753417887</v>
      </c>
      <c r="V43" s="14">
        <v>0.38434235621110086</v>
      </c>
      <c r="W43" s="14">
        <v>0.12924090034932947</v>
      </c>
      <c r="X43" s="13">
        <v>416.4265579711705</v>
      </c>
      <c r="Y43" s="13">
        <v>760.09666774976108</v>
      </c>
      <c r="Z43" s="13">
        <v>715.41902900560945</v>
      </c>
      <c r="AA43" s="13">
        <v>1.2130758848058283</v>
      </c>
      <c r="AB43" s="13">
        <v>1.8290622029867714</v>
      </c>
      <c r="AC43" s="13">
        <v>1.5061861803289649</v>
      </c>
      <c r="AD43" s="13">
        <v>4.8218432326386242</v>
      </c>
      <c r="AE43" s="13">
        <v>10.811404975575252</v>
      </c>
      <c r="AF43" s="13">
        <v>6.6728225770991534</v>
      </c>
      <c r="AG43" s="13">
        <v>4.0459738601679476</v>
      </c>
      <c r="AH43" s="13">
        <v>5.867913242913195</v>
      </c>
      <c r="AI43" s="13">
        <v>6.0170648034436187</v>
      </c>
      <c r="AJ43" s="13">
        <v>4.5334643074654499</v>
      </c>
      <c r="AK43" s="13">
        <v>9.6408307482441487</v>
      </c>
      <c r="AL43" s="13">
        <v>5.870581445776625</v>
      </c>
      <c r="AM43" s="13">
        <v>3.5482587322739523</v>
      </c>
      <c r="AN43" s="13">
        <v>5.0598838861550366</v>
      </c>
      <c r="AO43" s="13">
        <v>5.0817219698134171</v>
      </c>
      <c r="AP43" s="13">
        <v>1.3657786853241116</v>
      </c>
      <c r="AQ43" s="13">
        <v>2.9892249575798178</v>
      </c>
      <c r="AR43" s="13">
        <v>2.8499039604040264</v>
      </c>
      <c r="AS43" s="13">
        <v>1.5545027357605656</v>
      </c>
      <c r="AT43" s="13">
        <v>1.9297823672678651</v>
      </c>
      <c r="AU43" s="13">
        <v>2.1862269457056742</v>
      </c>
      <c r="AV43" s="13">
        <v>7.9109675264319002E-2</v>
      </c>
      <c r="AW43" s="13">
        <v>6.9386981881437701E-2</v>
      </c>
      <c r="AX43" s="13">
        <v>0.11142198926880501</v>
      </c>
      <c r="AY43" s="13">
        <v>7.4239944866861807E-2</v>
      </c>
      <c r="AZ43" s="13">
        <v>7.1911596296399899E-2</v>
      </c>
      <c r="BA43" s="13">
        <v>7.6727531825167603E-2</v>
      </c>
      <c r="BB43" s="13">
        <v>1.51282288216616</v>
      </c>
      <c r="BC43" s="13">
        <v>1.45154006538873</v>
      </c>
      <c r="BD43" s="13">
        <v>1.48408538322896</v>
      </c>
      <c r="BE43" s="13">
        <v>1.5469038291169199</v>
      </c>
      <c r="BF43" s="13">
        <v>1.46104643184201</v>
      </c>
      <c r="BG43" s="13">
        <v>1.6054195692500799</v>
      </c>
      <c r="BH43" s="7">
        <v>92.497670083876997</v>
      </c>
      <c r="BI43" s="7">
        <v>73.6981269174875</v>
      </c>
      <c r="BJ43" s="7">
        <v>87.570526844689198</v>
      </c>
      <c r="BK43" s="6">
        <v>42.924074963959598</v>
      </c>
      <c r="BL43" s="7">
        <v>21.427816901408502</v>
      </c>
      <c r="BM43" s="7">
        <v>30.790209790209801</v>
      </c>
      <c r="BN43" s="7">
        <v>2779</v>
      </c>
      <c r="BO43" s="7">
        <v>2815</v>
      </c>
      <c r="BP43" s="7">
        <v>2764</v>
      </c>
      <c r="BQ43" s="6">
        <v>96.779297672519405</v>
      </c>
      <c r="BR43" s="7">
        <v>88.880154434007295</v>
      </c>
      <c r="BS43" s="7">
        <v>94.074612928023399</v>
      </c>
      <c r="BT43" s="7">
        <v>86.190789068435194</v>
      </c>
      <c r="BU43" s="7">
        <v>86.003852760037603</v>
      </c>
      <c r="BV43" s="7">
        <v>91.780917599632801</v>
      </c>
      <c r="BW43" s="7">
        <v>30.123789020452101</v>
      </c>
      <c r="BX43" s="7">
        <v>29.3206082174054</v>
      </c>
      <c r="BY43" s="7">
        <v>39.698316788951203</v>
      </c>
      <c r="BZ43" s="7">
        <v>2791</v>
      </c>
      <c r="CA43" s="7">
        <v>2903</v>
      </c>
      <c r="CB43" s="7">
        <v>2831</v>
      </c>
      <c r="CC43" s="6">
        <v>93.580595534503402</v>
      </c>
      <c r="CD43" s="7">
        <v>94.501127949752401</v>
      </c>
      <c r="CE43" s="7">
        <v>96.204026211700807</v>
      </c>
      <c r="CF43" s="13">
        <f t="shared" si="1"/>
        <v>1.8252838422528832</v>
      </c>
      <c r="CG43" s="13">
        <f t="shared" si="0"/>
        <v>1.7179956832991867</v>
      </c>
      <c r="CH43" s="42">
        <v>2</v>
      </c>
      <c r="CI43" s="38">
        <v>9.1671232876712327</v>
      </c>
      <c r="CJ43" s="43">
        <v>26.940360139519999</v>
      </c>
      <c r="CK43" s="42">
        <v>138</v>
      </c>
      <c r="CL43" s="69">
        <v>75</v>
      </c>
      <c r="CM43" s="70">
        <v>69</v>
      </c>
      <c r="CN43" s="70">
        <v>64</v>
      </c>
      <c r="CO43" s="70">
        <v>67</v>
      </c>
      <c r="CP43" s="70">
        <v>72</v>
      </c>
      <c r="CQ43" s="70">
        <v>69</v>
      </c>
      <c r="CR43" s="71">
        <v>70</v>
      </c>
      <c r="CS43" s="59">
        <v>10</v>
      </c>
      <c r="CT43" s="60">
        <v>0</v>
      </c>
      <c r="CU43" s="60">
        <v>10</v>
      </c>
    </row>
    <row r="44" spans="1:99" ht="15" thickBot="1" x14ac:dyDescent="0.35">
      <c r="A44" s="12" t="s">
        <v>107</v>
      </c>
      <c r="B44" s="1" t="s">
        <v>138</v>
      </c>
      <c r="C44" s="13">
        <v>17.749362356321107</v>
      </c>
      <c r="D44" s="13">
        <v>14.179013804847042</v>
      </c>
      <c r="E44" s="13">
        <v>37.795031920719438</v>
      </c>
      <c r="F44" s="13">
        <v>18.634077272218157</v>
      </c>
      <c r="G44" s="13">
        <v>11.163311561415494</v>
      </c>
      <c r="H44" s="13">
        <v>24.26169146154961</v>
      </c>
      <c r="I44" s="13">
        <v>9.7602099119980341</v>
      </c>
      <c r="J44" s="13">
        <v>10.762567010379785</v>
      </c>
      <c r="K44" s="13">
        <v>18.568820028384685</v>
      </c>
      <c r="L44" s="13">
        <v>167.14218970518084</v>
      </c>
      <c r="M44" s="13">
        <v>116.45411930721183</v>
      </c>
      <c r="N44" s="13">
        <v>598.33036135656971</v>
      </c>
      <c r="O44" s="13">
        <v>-41.743701098218395</v>
      </c>
      <c r="P44" s="13">
        <v>-32.315791640538777</v>
      </c>
      <c r="Q44" s="13">
        <v>-19.597308829341451</v>
      </c>
      <c r="R44" s="14">
        <v>0.10850006886519079</v>
      </c>
      <c r="S44" s="14">
        <v>0.20412051732787612</v>
      </c>
      <c r="T44" s="14">
        <v>0.35199572297822068</v>
      </c>
      <c r="U44" s="14">
        <v>0.11683396840692784</v>
      </c>
      <c r="V44" s="14">
        <v>0.29649376420505341</v>
      </c>
      <c r="W44" s="14">
        <v>0.23869572915830078</v>
      </c>
      <c r="X44" s="13">
        <v>292.56229211214105</v>
      </c>
      <c r="Y44" s="13">
        <v>322.60794613613405</v>
      </c>
      <c r="Z44" s="13">
        <v>556.60038035083096</v>
      </c>
      <c r="AA44" s="13">
        <v>1.2633953966508384</v>
      </c>
      <c r="AB44" s="13">
        <v>1.3737909223453786</v>
      </c>
      <c r="AC44" s="13">
        <v>1.4360659890792127</v>
      </c>
      <c r="AD44" s="13">
        <v>3.2864556471854929</v>
      </c>
      <c r="AE44" s="13">
        <v>3.2377948478496226</v>
      </c>
      <c r="AF44" s="13">
        <v>6.7969197948831122</v>
      </c>
      <c r="AG44" s="13">
        <v>3.1062553674441222</v>
      </c>
      <c r="AH44" s="13">
        <v>2.426400377423664</v>
      </c>
      <c r="AI44" s="13">
        <v>4.8654081055999567</v>
      </c>
      <c r="AJ44" s="13">
        <v>3.1506665319798306</v>
      </c>
      <c r="AK44" s="13">
        <v>2.9583856153680395</v>
      </c>
      <c r="AL44" s="13">
        <v>5.0672369471122396</v>
      </c>
      <c r="AM44" s="13">
        <v>2.7941029372560102</v>
      </c>
      <c r="AN44" s="13">
        <v>2.1100817475269045</v>
      </c>
      <c r="AO44" s="13">
        <v>4.114738174886349</v>
      </c>
      <c r="AP44" s="13">
        <v>0.9537250602924453</v>
      </c>
      <c r="AQ44" s="13">
        <v>0.81366850834770676</v>
      </c>
      <c r="AR44" s="13">
        <v>3.9156395291349457</v>
      </c>
      <c r="AS44" s="13">
        <v>0.74902121213139472</v>
      </c>
      <c r="AT44" s="13">
        <v>0.80991702936766208</v>
      </c>
      <c r="AU44" s="13">
        <v>1.7372880257969683</v>
      </c>
      <c r="AV44" s="13">
        <v>7.97543333753475E-2</v>
      </c>
      <c r="AW44" s="13">
        <v>9.9000279181501505E-2</v>
      </c>
      <c r="AX44" s="13">
        <v>7.2582595073962294E-2</v>
      </c>
      <c r="AY44" s="13">
        <v>6.2081943840302897E-2</v>
      </c>
      <c r="AZ44" s="13">
        <v>9.7991268032660103E-2</v>
      </c>
      <c r="BA44" s="13">
        <v>7.4656896855667704E-2</v>
      </c>
      <c r="BB44" s="13">
        <v>1.509912246069</v>
      </c>
      <c r="BC44" s="13">
        <v>1.47924993584495</v>
      </c>
      <c r="BD44" s="13">
        <v>1.6164923335571999</v>
      </c>
      <c r="BE44" s="13">
        <v>1.58009543083576</v>
      </c>
      <c r="BF44" s="13">
        <v>1.52809050349342</v>
      </c>
      <c r="BG44" s="13">
        <v>1.6409804760489199</v>
      </c>
      <c r="BH44" s="7">
        <v>84.141918374510098</v>
      </c>
      <c r="BI44" s="7">
        <v>82.756232011317607</v>
      </c>
      <c r="BJ44" s="7">
        <v>91.942168862252203</v>
      </c>
      <c r="BK44" s="6">
        <v>27.812117305833102</v>
      </c>
      <c r="BL44" s="7">
        <v>28.012219286657899</v>
      </c>
      <c r="BM44" s="7">
        <v>30.592424732923298</v>
      </c>
      <c r="BN44" s="7">
        <v>2864</v>
      </c>
      <c r="BO44" s="7">
        <v>2863</v>
      </c>
      <c r="BP44" s="7">
        <v>2867</v>
      </c>
      <c r="BQ44" s="6">
        <v>92.544123232546596</v>
      </c>
      <c r="BR44" s="7">
        <v>91.303030011450403</v>
      </c>
      <c r="BS44" s="7">
        <v>96.439606202502503</v>
      </c>
      <c r="BT44" s="7">
        <v>79.318842108291093</v>
      </c>
      <c r="BU44" s="7">
        <v>85.739234520177007</v>
      </c>
      <c r="BV44" s="7">
        <v>91.1350622427518</v>
      </c>
      <c r="BW44" s="7">
        <v>30.514201401696798</v>
      </c>
      <c r="BX44" s="7">
        <v>28.633027522935802</v>
      </c>
      <c r="BY44" s="7">
        <v>36.209516193522603</v>
      </c>
      <c r="BZ44" s="7">
        <v>2888</v>
      </c>
      <c r="CA44" s="7">
        <v>2855</v>
      </c>
      <c r="CB44" s="7">
        <v>2819</v>
      </c>
      <c r="CC44" s="6">
        <v>89.463529968081303</v>
      </c>
      <c r="CD44" s="7">
        <v>93.259862023589505</v>
      </c>
      <c r="CE44" s="7">
        <v>95.863225473561002</v>
      </c>
      <c r="CF44" s="13">
        <f t="shared" si="1"/>
        <v>1.1026983136038471</v>
      </c>
      <c r="CG44" s="13">
        <f t="shared" si="0"/>
        <v>1.9025021178651498</v>
      </c>
      <c r="CH44" s="48">
        <v>1</v>
      </c>
      <c r="CI44" s="38">
        <v>9.6794520547945204</v>
      </c>
      <c r="CJ44" s="48">
        <v>23</v>
      </c>
      <c r="CK44" s="48">
        <v>127</v>
      </c>
      <c r="CL44" s="72">
        <v>76</v>
      </c>
      <c r="CM44" s="73">
        <v>79</v>
      </c>
      <c r="CN44" s="73">
        <v>83</v>
      </c>
      <c r="CO44" s="73">
        <v>62</v>
      </c>
      <c r="CP44" s="73">
        <v>76</v>
      </c>
      <c r="CQ44" s="73">
        <v>85</v>
      </c>
      <c r="CR44" s="74">
        <v>84</v>
      </c>
      <c r="CS44" s="75">
        <v>13</v>
      </c>
      <c r="CT44" s="76">
        <v>1</v>
      </c>
      <c r="CU44" s="76">
        <v>14</v>
      </c>
    </row>
    <row r="45" spans="1:99" x14ac:dyDescent="0.3">
      <c r="A45" s="12" t="s">
        <v>108</v>
      </c>
      <c r="B45" s="1" t="s">
        <v>138</v>
      </c>
      <c r="C45" s="13">
        <v>27.662924430714455</v>
      </c>
      <c r="D45" s="13">
        <v>39.414979734740456</v>
      </c>
      <c r="E45" s="13">
        <v>92.01545819530898</v>
      </c>
      <c r="F45" s="13">
        <v>37.530731749938326</v>
      </c>
      <c r="G45" s="13">
        <v>18.327545850158202</v>
      </c>
      <c r="H45" s="13">
        <v>167.83452377855181</v>
      </c>
      <c r="I45" s="13">
        <v>14.670116327135855</v>
      </c>
      <c r="J45" s="13">
        <v>15.928918915892176</v>
      </c>
      <c r="K45" s="13">
        <v>61.048735292000977</v>
      </c>
      <c r="L45" s="13">
        <v>930.66777737570987</v>
      </c>
      <c r="M45" s="13">
        <v>487.87108774447955</v>
      </c>
      <c r="N45" s="13">
        <v>6552.5175230016112</v>
      </c>
      <c r="O45" s="13">
        <v>-55.034023204827101</v>
      </c>
      <c r="P45" s="13">
        <v>-5.8986619203941828</v>
      </c>
      <c r="Q45" s="13">
        <v>-79.990520670074076</v>
      </c>
      <c r="R45" s="14">
        <v>0.10471223147281752</v>
      </c>
      <c r="S45" s="14">
        <v>0.1139123229151604</v>
      </c>
      <c r="T45" s="14">
        <v>0.36544966067713003</v>
      </c>
      <c r="U45" s="14">
        <v>7.934445278354621E-2</v>
      </c>
      <c r="V45" s="14">
        <v>0.27631683592055478</v>
      </c>
      <c r="W45" s="14">
        <v>0.57116441260096307</v>
      </c>
      <c r="X45" s="13">
        <v>439.73673690589692</v>
      </c>
      <c r="Y45" s="13">
        <v>477.46934450386789</v>
      </c>
      <c r="Z45" s="13">
        <v>1829.9358403777294</v>
      </c>
      <c r="AA45" s="13">
        <v>1.0555011189246928</v>
      </c>
      <c r="AB45" s="13">
        <v>1.5499156017377953</v>
      </c>
      <c r="AC45" s="13">
        <v>0.7665377717290216</v>
      </c>
      <c r="AD45" s="13">
        <v>6.8221653773649926</v>
      </c>
      <c r="AE45" s="13">
        <v>7.9996126419284765</v>
      </c>
      <c r="AF45" s="13">
        <v>16.804040175508739</v>
      </c>
      <c r="AG45" s="13">
        <v>7.5024800448356563</v>
      </c>
      <c r="AH45" s="13">
        <v>3.3113242901991291</v>
      </c>
      <c r="AI45" s="13">
        <v>20.766892022261462</v>
      </c>
      <c r="AJ45" s="13">
        <v>7.1075415383518346</v>
      </c>
      <c r="AK45" s="13">
        <v>7.7867659690243691</v>
      </c>
      <c r="AL45" s="13">
        <v>14.041273718228064</v>
      </c>
      <c r="AM45" s="13">
        <v>6.9140985980919449</v>
      </c>
      <c r="AN45" s="13">
        <v>2.4583316339853236</v>
      </c>
      <c r="AO45" s="13">
        <v>8.4039112170859696</v>
      </c>
      <c r="AP45" s="13">
        <v>1.5480188366526355</v>
      </c>
      <c r="AQ45" s="13">
        <v>2.078380777927245</v>
      </c>
      <c r="AR45" s="13">
        <v>7.354425017853143</v>
      </c>
      <c r="AS45" s="13">
        <v>1.6215698023282368</v>
      </c>
      <c r="AT45" s="13">
        <v>1.8166897584967912</v>
      </c>
      <c r="AU45" s="13">
        <v>18.986853427043446</v>
      </c>
      <c r="AV45" s="13">
        <v>5.34643633254787E-2</v>
      </c>
      <c r="AW45" s="13">
        <v>5.19637903923778E-2</v>
      </c>
      <c r="AX45" s="13">
        <v>4.38509614204073E-2</v>
      </c>
      <c r="AY45" s="13">
        <v>3.7586903833077501E-2</v>
      </c>
      <c r="AZ45" s="13">
        <v>8.8853922626725895E-2</v>
      </c>
      <c r="BA45" s="13">
        <v>5.4431164362612999E-2</v>
      </c>
      <c r="BB45" s="13">
        <v>1.60718994603875</v>
      </c>
      <c r="BC45" s="13">
        <v>1.59015639950042</v>
      </c>
      <c r="BD45" s="13">
        <v>1.64563713879634</v>
      </c>
      <c r="BE45" s="13">
        <v>1.6358369571881699</v>
      </c>
      <c r="BF45" s="13">
        <v>1.62395333959657</v>
      </c>
      <c r="BG45" s="13">
        <v>1.7288663081923099</v>
      </c>
      <c r="BH45" s="7">
        <v>93.101996817411802</v>
      </c>
      <c r="BI45" s="7">
        <v>91.822826277713901</v>
      </c>
      <c r="BJ45" s="7">
        <v>94.293145347552795</v>
      </c>
      <c r="BK45" s="6">
        <v>44.258662762323098</v>
      </c>
      <c r="BL45" s="7">
        <v>34.5737885462555</v>
      </c>
      <c r="BM45" s="7">
        <v>44.7777777777778</v>
      </c>
      <c r="BN45" s="7">
        <v>2791</v>
      </c>
      <c r="BO45" s="7">
        <v>2864</v>
      </c>
      <c r="BP45" s="7">
        <v>2822</v>
      </c>
      <c r="BQ45" s="6">
        <v>97.077964797927194</v>
      </c>
      <c r="BR45" s="7">
        <v>96.836973610196296</v>
      </c>
      <c r="BS45" s="7">
        <v>97.771143687464999</v>
      </c>
      <c r="BT45" s="7">
        <v>96.249594879273999</v>
      </c>
      <c r="BU45" s="7">
        <v>89.209320656190002</v>
      </c>
      <c r="BV45" s="7">
        <v>96.258860863831202</v>
      </c>
      <c r="BW45" s="7">
        <v>65.675881133379406</v>
      </c>
      <c r="BX45" s="7">
        <v>38.091291543963003</v>
      </c>
      <c r="BY45" s="7">
        <v>64.121482498284195</v>
      </c>
      <c r="BZ45" s="7">
        <v>2810</v>
      </c>
      <c r="CA45" s="7">
        <v>2849</v>
      </c>
      <c r="CB45" s="7">
        <v>2786</v>
      </c>
      <c r="CC45" s="6">
        <v>98.220517967076603</v>
      </c>
      <c r="CD45" s="7">
        <v>94.353867081228202</v>
      </c>
      <c r="CE45" s="7">
        <v>98.420510007668895</v>
      </c>
      <c r="CF45" s="13">
        <f t="shared" si="1"/>
        <v>1.0858072670104106</v>
      </c>
      <c r="CG45" s="13">
        <f t="shared" si="0"/>
        <v>4.1614349832439252</v>
      </c>
      <c r="CH45" s="49">
        <v>1</v>
      </c>
      <c r="CI45" s="38">
        <v>9.7178082191780817</v>
      </c>
      <c r="CJ45" s="49">
        <v>41.6</v>
      </c>
      <c r="CK45" s="49">
        <v>143</v>
      </c>
      <c r="CL45" s="77">
        <v>86</v>
      </c>
      <c r="CM45" s="78">
        <v>85</v>
      </c>
      <c r="CN45" s="78">
        <v>83</v>
      </c>
      <c r="CO45" s="78">
        <v>73</v>
      </c>
      <c r="CP45" s="78">
        <v>83</v>
      </c>
      <c r="CQ45" s="78">
        <v>85</v>
      </c>
      <c r="CR45" s="79">
        <v>86</v>
      </c>
      <c r="CS45" s="59">
        <v>16</v>
      </c>
      <c r="CT45" s="60">
        <v>4</v>
      </c>
      <c r="CU45" s="60">
        <v>20</v>
      </c>
    </row>
    <row r="46" spans="1:99" x14ac:dyDescent="0.3">
      <c r="A46" s="12" t="s">
        <v>109</v>
      </c>
      <c r="B46" s="1" t="s">
        <v>138</v>
      </c>
      <c r="C46" s="13">
        <v>16.935824447407011</v>
      </c>
      <c r="D46" s="13">
        <v>25.861946602323172</v>
      </c>
      <c r="E46" s="13">
        <v>39.17022927734115</v>
      </c>
      <c r="F46" s="13">
        <v>12.471296059917506</v>
      </c>
      <c r="G46" s="13">
        <v>23.128953532007934</v>
      </c>
      <c r="H46" s="13">
        <v>49.89818195861168</v>
      </c>
      <c r="I46" s="13">
        <v>9.4518981521522019</v>
      </c>
      <c r="J46" s="13">
        <v>16.648792179034665</v>
      </c>
      <c r="K46" s="13">
        <v>25.503691749832313</v>
      </c>
      <c r="L46" s="13">
        <v>146.9678132722068</v>
      </c>
      <c r="M46" s="13">
        <v>366.54060366284517</v>
      </c>
      <c r="N46" s="13">
        <v>1212.6765777369676</v>
      </c>
      <c r="O46" s="13">
        <v>-7.4506919429080165</v>
      </c>
      <c r="P46" s="13">
        <v>-37.414169395464334</v>
      </c>
      <c r="Q46" s="13">
        <v>-83.434032784108069</v>
      </c>
      <c r="R46" s="14">
        <v>0.19335812912102177</v>
      </c>
      <c r="S46" s="14">
        <v>0.22590608266093629</v>
      </c>
      <c r="T46" s="14">
        <v>0.33892291129723073</v>
      </c>
      <c r="U46" s="14">
        <v>0.23860169144883683</v>
      </c>
      <c r="V46" s="14">
        <v>0.32912756330976284</v>
      </c>
      <c r="W46" s="14">
        <v>0.31146321673130845</v>
      </c>
      <c r="X46" s="13">
        <v>283.32064711076225</v>
      </c>
      <c r="Y46" s="13">
        <v>499.04754556656388</v>
      </c>
      <c r="Z46" s="13">
        <v>764.47316020122389</v>
      </c>
      <c r="AA46" s="13">
        <v>1.139187550033564</v>
      </c>
      <c r="AB46" s="13">
        <v>1.1717317420666515</v>
      </c>
      <c r="AC46" s="13">
        <v>0.70713343497632986</v>
      </c>
      <c r="AD46" s="13">
        <v>3.658659367306651</v>
      </c>
      <c r="AE46" s="13">
        <v>5.3411254741922107</v>
      </c>
      <c r="AF46" s="13">
        <v>6.7423547508456334</v>
      </c>
      <c r="AG46" s="13">
        <v>2.1563860702245825</v>
      </c>
      <c r="AH46" s="13">
        <v>4.545112658777172</v>
      </c>
      <c r="AI46" s="13">
        <v>9.5834639308456193</v>
      </c>
      <c r="AJ46" s="13">
        <v>3.5090990420011998</v>
      </c>
      <c r="AK46" s="13">
        <v>4.9601944420211579</v>
      </c>
      <c r="AL46" s="13">
        <v>5.4339344584574203</v>
      </c>
      <c r="AM46" s="13">
        <v>1.68558519168438</v>
      </c>
      <c r="AN46" s="13">
        <v>3.8312228214710045</v>
      </c>
      <c r="AO46" s="13">
        <v>6.8019682181558032</v>
      </c>
      <c r="AP46" s="13">
        <v>0.77422910765672714</v>
      </c>
      <c r="AQ46" s="13">
        <v>1.5472332640754909</v>
      </c>
      <c r="AR46" s="13">
        <v>2.6000402938801312</v>
      </c>
      <c r="AS46" s="13">
        <v>1.1401473577563912</v>
      </c>
      <c r="AT46" s="13">
        <v>1.6628912893961474</v>
      </c>
      <c r="AU46" s="13">
        <v>5.8447065271211871</v>
      </c>
      <c r="AV46" s="13">
        <v>6.5396435239400003E-2</v>
      </c>
      <c r="AW46" s="13">
        <v>8.1183893090227097E-2</v>
      </c>
      <c r="AX46" s="13">
        <v>6.8816566588451505E-2</v>
      </c>
      <c r="AY46" s="13">
        <v>0.100674800585911</v>
      </c>
      <c r="AZ46" s="13">
        <v>8.2296803298028201E-2</v>
      </c>
      <c r="BA46" s="13">
        <v>7.3941817745286603E-2</v>
      </c>
      <c r="BB46" s="13">
        <v>1.5528647171282099</v>
      </c>
      <c r="BC46" s="13">
        <v>1.51728038662244</v>
      </c>
      <c r="BD46" s="13">
        <v>1.65558677302031</v>
      </c>
      <c r="BE46" s="13">
        <v>1.5187988342888701</v>
      </c>
      <c r="BF46" s="13">
        <v>1.4644293131056201</v>
      </c>
      <c r="BG46" s="13">
        <v>1.67743400508924</v>
      </c>
      <c r="BH46" s="7">
        <v>85.541417659397595</v>
      </c>
      <c r="BI46" s="7">
        <v>89.100222403365194</v>
      </c>
      <c r="BJ46" s="7">
        <v>85.459993649785702</v>
      </c>
      <c r="BK46" s="6">
        <v>30.6578014184397</v>
      </c>
      <c r="BL46" s="7">
        <v>33.511733535200598</v>
      </c>
      <c r="BM46" s="7">
        <v>27.8018076178179</v>
      </c>
      <c r="BN46" s="7">
        <v>2843</v>
      </c>
      <c r="BO46" s="7">
        <v>2819</v>
      </c>
      <c r="BP46" s="7">
        <v>2839</v>
      </c>
      <c r="BQ46" s="6">
        <v>93.738901356229903</v>
      </c>
      <c r="BR46" s="7">
        <v>95.468301927981003</v>
      </c>
      <c r="BS46" s="7">
        <v>93.034029979257198</v>
      </c>
      <c r="BT46" s="7">
        <v>89.146369180650794</v>
      </c>
      <c r="BU46" s="7">
        <v>88.191308283400701</v>
      </c>
      <c r="BV46" s="7">
        <v>86.286179863477798</v>
      </c>
      <c r="BW46" s="7">
        <v>32.193912448700402</v>
      </c>
      <c r="BX46" s="7">
        <v>37.085229623500197</v>
      </c>
      <c r="BY46" s="7">
        <v>33.750874465604397</v>
      </c>
      <c r="BZ46" s="7">
        <v>2906</v>
      </c>
      <c r="CA46" s="7">
        <v>2851</v>
      </c>
      <c r="CB46" s="7">
        <v>2837</v>
      </c>
      <c r="CC46" s="6">
        <v>94.306839359361803</v>
      </c>
      <c r="CD46" s="7">
        <v>94.483471274851297</v>
      </c>
      <c r="CE46" s="7">
        <v>94.891830455997294</v>
      </c>
      <c r="CF46" s="13">
        <f t="shared" si="1"/>
        <v>1.7614231460210688</v>
      </c>
      <c r="CG46" s="13">
        <f t="shared" si="0"/>
        <v>2.6982613798081521</v>
      </c>
      <c r="CH46" s="50">
        <v>1</v>
      </c>
      <c r="CI46" s="38">
        <v>10.564383561643835</v>
      </c>
      <c r="CJ46" s="50">
        <v>35</v>
      </c>
      <c r="CK46" s="50">
        <v>130</v>
      </c>
      <c r="CL46" s="77">
        <v>70</v>
      </c>
      <c r="CM46" s="78">
        <v>61</v>
      </c>
      <c r="CN46" s="78">
        <v>67</v>
      </c>
      <c r="CO46" s="78">
        <v>71</v>
      </c>
      <c r="CP46" s="78">
        <v>64</v>
      </c>
      <c r="CQ46" s="78">
        <v>69</v>
      </c>
      <c r="CR46" s="79">
        <v>68</v>
      </c>
      <c r="CS46" s="59">
        <v>14</v>
      </c>
      <c r="CT46" s="60">
        <v>2</v>
      </c>
      <c r="CU46" s="60">
        <v>16</v>
      </c>
    </row>
    <row r="47" spans="1:99" x14ac:dyDescent="0.3">
      <c r="A47" s="12" t="s">
        <v>110</v>
      </c>
      <c r="B47" s="1" t="s">
        <v>138</v>
      </c>
      <c r="C47" s="13">
        <v>23.378374571202983</v>
      </c>
      <c r="D47" s="13">
        <v>35.150951721100164</v>
      </c>
      <c r="E47" s="13">
        <v>67.18663507780046</v>
      </c>
      <c r="F47" s="13">
        <v>11.610153393583763</v>
      </c>
      <c r="G47" s="13">
        <v>20.560760479964273</v>
      </c>
      <c r="H47" s="13">
        <v>76.856012484641894</v>
      </c>
      <c r="I47" s="13">
        <v>12.855712023501791</v>
      </c>
      <c r="J47" s="13">
        <v>28.478087033213228</v>
      </c>
      <c r="K47" s="13">
        <v>45.502270206557931</v>
      </c>
      <c r="L47" s="13">
        <v>178.35116963252355</v>
      </c>
      <c r="M47" s="13">
        <v>443.87397967098678</v>
      </c>
      <c r="N47" s="13">
        <v>2488.9783146598907</v>
      </c>
      <c r="O47" s="13">
        <v>-15.867655803602419</v>
      </c>
      <c r="P47" s="13">
        <v>-6.6113228767123307</v>
      </c>
      <c r="Q47" s="13">
        <v>-16.869693424050983</v>
      </c>
      <c r="R47" s="14">
        <v>0.19930384748071242</v>
      </c>
      <c r="S47" s="14">
        <v>0.54213008089644132</v>
      </c>
      <c r="T47" s="14">
        <v>0.14988748786426268</v>
      </c>
      <c r="U47" s="14">
        <v>0.35483289747116831</v>
      </c>
      <c r="V47" s="14">
        <v>0.68293740429693972</v>
      </c>
      <c r="W47" s="14">
        <v>0.41702954258379638</v>
      </c>
      <c r="X47" s="13">
        <v>385.34996790446627</v>
      </c>
      <c r="Y47" s="13">
        <v>853.63065882056651</v>
      </c>
      <c r="Z47" s="13">
        <v>1363.9305494415742</v>
      </c>
      <c r="AA47" s="13">
        <v>1.7396978909679193</v>
      </c>
      <c r="AB47" s="13">
        <v>1.7475197561926799</v>
      </c>
      <c r="AC47" s="13">
        <v>1.3418880156409745</v>
      </c>
      <c r="AD47" s="13">
        <v>4.7252852185709617</v>
      </c>
      <c r="AE47" s="13">
        <v>7.6472929866943362</v>
      </c>
      <c r="AF47" s="13">
        <v>14.095011264590282</v>
      </c>
      <c r="AG47" s="13">
        <v>2.294207583812705</v>
      </c>
      <c r="AH47" s="13">
        <v>3.1703974082559983</v>
      </c>
      <c r="AI47" s="13">
        <v>9.6980934007398645</v>
      </c>
      <c r="AJ47" s="13">
        <v>3.8925387733386994</v>
      </c>
      <c r="AK47" s="13">
        <v>5.6830685764566802</v>
      </c>
      <c r="AL47" s="13">
        <v>11.384697343747421</v>
      </c>
      <c r="AM47" s="13">
        <v>2.0009392820352603</v>
      </c>
      <c r="AN47" s="13">
        <v>1.6308398396644357</v>
      </c>
      <c r="AO47" s="13">
        <v>6.2084690185731626</v>
      </c>
      <c r="AP47" s="13">
        <v>2.2796564863729092</v>
      </c>
      <c r="AQ47" s="13">
        <v>4.4945113923150748</v>
      </c>
      <c r="AR47" s="13">
        <v>5.9292817941225184</v>
      </c>
      <c r="AS47" s="13">
        <v>1.0027098270569164</v>
      </c>
      <c r="AT47" s="13">
        <v>2.4500400193573539</v>
      </c>
      <c r="AU47" s="13">
        <v>5.6885976138540943</v>
      </c>
      <c r="AV47" s="13">
        <v>8.6848487911939998E-2</v>
      </c>
      <c r="AW47" s="13">
        <v>0.12622149888787901</v>
      </c>
      <c r="AX47" s="13">
        <v>9.0284642229452997E-2</v>
      </c>
      <c r="AY47" s="13">
        <v>9.8363995584324501E-2</v>
      </c>
      <c r="AZ47" s="13">
        <v>0.168260428432081</v>
      </c>
      <c r="BA47" s="13">
        <v>8.90803446776295E-2</v>
      </c>
      <c r="BB47" s="13">
        <v>1.57994774205843</v>
      </c>
      <c r="BC47" s="13">
        <v>1.38502686391592</v>
      </c>
      <c r="BD47" s="13">
        <v>1.5312014160045</v>
      </c>
      <c r="BE47" s="13">
        <v>1.42163926293957</v>
      </c>
      <c r="BF47" s="13">
        <v>1.3052465106334099</v>
      </c>
      <c r="BG47" s="13">
        <v>1.5341645897698799</v>
      </c>
      <c r="BH47" s="7">
        <v>89.035295941402694</v>
      </c>
      <c r="BI47" s="7">
        <v>85.036866927945795</v>
      </c>
      <c r="BJ47" s="7">
        <v>87.422453967091798</v>
      </c>
      <c r="BK47" s="6">
        <v>31.699206622973399</v>
      </c>
      <c r="BL47" s="7">
        <v>31.387390542907202</v>
      </c>
      <c r="BM47" s="7">
        <v>31.967076700434198</v>
      </c>
      <c r="BN47" s="7">
        <v>2873</v>
      </c>
      <c r="BO47" s="7">
        <v>2903</v>
      </c>
      <c r="BP47" s="7">
        <v>2843</v>
      </c>
      <c r="BQ47" s="6">
        <v>94.642618251313905</v>
      </c>
      <c r="BR47" s="7">
        <v>92.311220525877303</v>
      </c>
      <c r="BS47" s="7">
        <v>94.845888907318695</v>
      </c>
      <c r="BT47" s="7">
        <v>83.3333333333333</v>
      </c>
      <c r="BU47" s="7">
        <v>80.801024681018802</v>
      </c>
      <c r="BV47" s="7">
        <v>88.199793303823895</v>
      </c>
      <c r="BW47" s="7">
        <v>29.123572867696399</v>
      </c>
      <c r="BX47" s="7">
        <v>31.712683681361199</v>
      </c>
      <c r="BY47" s="7">
        <v>32.170341394025598</v>
      </c>
      <c r="BZ47" s="7">
        <v>2885</v>
      </c>
      <c r="CA47" s="7">
        <v>2849</v>
      </c>
      <c r="CB47" s="7">
        <v>2864</v>
      </c>
      <c r="CC47" s="6">
        <v>90.7827026412305</v>
      </c>
      <c r="CD47" s="7">
        <v>89.096871356393294</v>
      </c>
      <c r="CE47" s="7">
        <v>93.579234315879603</v>
      </c>
      <c r="CF47" s="13">
        <f t="shared" si="1"/>
        <v>2.2152088488877042</v>
      </c>
      <c r="CG47" s="13">
        <f t="shared" si="0"/>
        <v>3.5394593565392793</v>
      </c>
      <c r="CH47" s="50">
        <v>2</v>
      </c>
      <c r="CI47" s="38">
        <v>7.0054794520547947</v>
      </c>
      <c r="CJ47" s="50">
        <v>33</v>
      </c>
      <c r="CK47" s="50">
        <v>130</v>
      </c>
      <c r="CL47" s="77">
        <v>59</v>
      </c>
      <c r="CM47" s="78">
        <v>71</v>
      </c>
      <c r="CN47" s="78">
        <v>82</v>
      </c>
      <c r="CO47" s="78">
        <v>80</v>
      </c>
      <c r="CP47" s="78">
        <v>88</v>
      </c>
      <c r="CQ47" s="78">
        <v>78</v>
      </c>
      <c r="CR47" s="79">
        <v>81</v>
      </c>
      <c r="CS47" s="59">
        <v>18</v>
      </c>
      <c r="CT47" s="60">
        <v>7</v>
      </c>
      <c r="CU47" s="60">
        <v>25</v>
      </c>
    </row>
    <row r="48" spans="1:99" x14ac:dyDescent="0.3">
      <c r="A48" s="12" t="s">
        <v>111</v>
      </c>
      <c r="B48" s="1" t="s">
        <v>138</v>
      </c>
      <c r="C48" s="13">
        <v>28.863689512976229</v>
      </c>
      <c r="D48" s="13">
        <v>41.764192877217376</v>
      </c>
      <c r="E48" s="13">
        <v>63.822189444972366</v>
      </c>
      <c r="F48" s="13">
        <v>43.392998521107614</v>
      </c>
      <c r="G48" s="13">
        <v>39.761372716554384</v>
      </c>
      <c r="H48" s="13">
        <v>31.453994040833187</v>
      </c>
      <c r="I48" s="13">
        <v>25.872202018704517</v>
      </c>
      <c r="J48" s="13">
        <v>37.957496699039659</v>
      </c>
      <c r="K48" s="13">
        <v>30.905714347317588</v>
      </c>
      <c r="L48" s="13">
        <v>582.40780812417813</v>
      </c>
      <c r="M48" s="13">
        <v>1046.763339972634</v>
      </c>
      <c r="N48" s="13">
        <v>969.76656268778765</v>
      </c>
      <c r="O48" s="13">
        <v>-67.665844786909489</v>
      </c>
      <c r="P48" s="13">
        <v>12.503692372750592</v>
      </c>
      <c r="Q48" s="13">
        <v>-3.5353515689415675</v>
      </c>
      <c r="R48" s="14">
        <v>0.1514728249878585</v>
      </c>
      <c r="S48" s="14">
        <v>0.1866413328747378</v>
      </c>
      <c r="T48" s="14">
        <v>0.19509798015611704</v>
      </c>
      <c r="U48" s="14">
        <v>0.25786430326536491</v>
      </c>
      <c r="V48" s="14">
        <v>0.13324168317491769</v>
      </c>
      <c r="W48" s="14">
        <v>0.28595191638003947</v>
      </c>
      <c r="X48" s="13">
        <v>775.51925551066779</v>
      </c>
      <c r="Y48" s="13">
        <v>1137.7759635537141</v>
      </c>
      <c r="Z48" s="13">
        <v>926.39878756084465</v>
      </c>
      <c r="AA48" s="13">
        <v>0.73606046985926121</v>
      </c>
      <c r="AB48" s="13">
        <v>0.9357510041322229</v>
      </c>
      <c r="AC48" s="13">
        <v>0.91864260516529683</v>
      </c>
      <c r="AD48" s="13">
        <v>4.8490650174544117</v>
      </c>
      <c r="AE48" s="13">
        <v>8.2047047587732074</v>
      </c>
      <c r="AF48" s="13">
        <v>9.131456689681988</v>
      </c>
      <c r="AG48" s="13">
        <v>6.7715351879158092</v>
      </c>
      <c r="AH48" s="13">
        <v>6.8004549598107156</v>
      </c>
      <c r="AI48" s="13">
        <v>5.6496451407647905</v>
      </c>
      <c r="AJ48" s="13">
        <v>4.0329293302160023</v>
      </c>
      <c r="AK48" s="13">
        <v>8.0209468187253012</v>
      </c>
      <c r="AL48" s="13">
        <v>8.5118055210335068</v>
      </c>
      <c r="AM48" s="13">
        <v>5.0348764082889064</v>
      </c>
      <c r="AN48" s="13">
        <v>5.7453990379036561</v>
      </c>
      <c r="AO48" s="13">
        <v>4.2949126732314689</v>
      </c>
      <c r="AP48" s="13">
        <v>1.4618463902846583</v>
      </c>
      <c r="AQ48" s="13">
        <v>2.4903264940183023</v>
      </c>
      <c r="AR48" s="13">
        <v>2.9290280760313476</v>
      </c>
      <c r="AS48" s="13">
        <v>3.2992279313690571</v>
      </c>
      <c r="AT48" s="13">
        <v>2.5912854373973695</v>
      </c>
      <c r="AU48" s="13">
        <v>2.3057629777358004</v>
      </c>
      <c r="AV48" s="13">
        <v>0.113006105233731</v>
      </c>
      <c r="AW48" s="13">
        <v>0.118798264584575</v>
      </c>
      <c r="AX48" s="13">
        <v>7.4755223982909402E-2</v>
      </c>
      <c r="AY48" s="13">
        <v>0.106577491983468</v>
      </c>
      <c r="AZ48" s="13">
        <v>0.15621427172201399</v>
      </c>
      <c r="BA48" s="13">
        <v>0.156723730985218</v>
      </c>
      <c r="BB48" s="13">
        <v>1.57744272815347</v>
      </c>
      <c r="BC48" s="13">
        <v>1.4902011920778899</v>
      </c>
      <c r="BD48" s="13">
        <v>1.6774256440453299</v>
      </c>
      <c r="BE48" s="13">
        <v>1.6501359699698199</v>
      </c>
      <c r="BF48" s="13">
        <v>1.4118299636225</v>
      </c>
      <c r="BG48" s="13">
        <v>1.59454635890888</v>
      </c>
      <c r="BH48" s="7">
        <v>85.305829963658695</v>
      </c>
      <c r="BI48" s="7">
        <v>87.517761722737006</v>
      </c>
      <c r="BJ48" s="7">
        <v>81.768360927791306</v>
      </c>
      <c r="BK48" s="6">
        <v>37.689280868385303</v>
      </c>
      <c r="BL48" s="7">
        <v>35.209339774557201</v>
      </c>
      <c r="BM48" s="7">
        <v>28.8356583872065</v>
      </c>
      <c r="BN48" s="7">
        <v>2795</v>
      </c>
      <c r="BO48" s="7">
        <v>2827</v>
      </c>
      <c r="BP48" s="7">
        <v>2879</v>
      </c>
      <c r="BQ48" s="6">
        <v>92.007710707184899</v>
      </c>
      <c r="BR48" s="7">
        <v>94.135059399297504</v>
      </c>
      <c r="BS48" s="7">
        <v>90.209736972326894</v>
      </c>
      <c r="BT48" s="7">
        <v>84.521349687007003</v>
      </c>
      <c r="BU48" s="7">
        <v>71.396682446214797</v>
      </c>
      <c r="BV48" s="7">
        <v>75.020918059582399</v>
      </c>
      <c r="BW48" s="7">
        <v>37.676043557168803</v>
      </c>
      <c r="BX48" s="7">
        <v>28.0862982588948</v>
      </c>
      <c r="BY48" s="7">
        <v>28.707371556217399</v>
      </c>
      <c r="BZ48" s="7">
        <v>2803</v>
      </c>
      <c r="CA48" s="7">
        <v>2883</v>
      </c>
      <c r="CB48" s="7">
        <v>2867</v>
      </c>
      <c r="CC48" s="6">
        <v>90.791493973727299</v>
      </c>
      <c r="CD48" s="7">
        <v>83.808150018031</v>
      </c>
      <c r="CE48" s="7">
        <v>85.549243878099304</v>
      </c>
      <c r="CF48" s="13">
        <f t="shared" si="1"/>
        <v>1.467115039979898</v>
      </c>
      <c r="CG48" s="13">
        <f t="shared" si="0"/>
        <v>1.1945529153248748</v>
      </c>
      <c r="CH48" s="50">
        <v>1</v>
      </c>
      <c r="CI48" s="38">
        <v>6.4575342465753423</v>
      </c>
      <c r="CJ48" s="50">
        <v>20</v>
      </c>
      <c r="CK48" s="50">
        <v>120</v>
      </c>
      <c r="CL48" s="77">
        <v>67</v>
      </c>
      <c r="CM48" s="78">
        <v>78</v>
      </c>
      <c r="CN48" s="78">
        <v>71</v>
      </c>
      <c r="CO48" s="78">
        <v>69</v>
      </c>
      <c r="CP48" s="78">
        <v>68</v>
      </c>
      <c r="CQ48" s="78">
        <v>74</v>
      </c>
      <c r="CR48" s="79">
        <v>67</v>
      </c>
      <c r="CS48" s="59">
        <v>14</v>
      </c>
      <c r="CT48" s="60">
        <v>4</v>
      </c>
      <c r="CU48" s="60">
        <v>18</v>
      </c>
    </row>
    <row r="49" spans="1:99" ht="15" thickBot="1" x14ac:dyDescent="0.35">
      <c r="A49" s="12" t="s">
        <v>112</v>
      </c>
      <c r="B49" s="1" t="s">
        <v>138</v>
      </c>
      <c r="C49" s="13">
        <v>33.112777654938569</v>
      </c>
      <c r="D49" s="13">
        <v>28.756498515901306</v>
      </c>
      <c r="E49" s="13">
        <v>60.624644387653262</v>
      </c>
      <c r="F49" s="13">
        <v>35.915542711896435</v>
      </c>
      <c r="G49" s="13">
        <v>28.012456176321287</v>
      </c>
      <c r="H49" s="13">
        <v>44.511334726394622</v>
      </c>
      <c r="I49" s="13">
        <v>20.72131841408769</v>
      </c>
      <c r="J49" s="13">
        <v>21.544384722037968</v>
      </c>
      <c r="K49" s="13">
        <v>30.993445578040404</v>
      </c>
      <c r="L49" s="13">
        <v>856.54577418995541</v>
      </c>
      <c r="M49" s="13">
        <v>577.8749865835531</v>
      </c>
      <c r="N49" s="13">
        <v>1345.3804527092798</v>
      </c>
      <c r="O49" s="13">
        <v>-33.512353387581676</v>
      </c>
      <c r="P49" s="13">
        <v>-43.828144136881434</v>
      </c>
      <c r="Q49" s="13">
        <v>15.135590448333213</v>
      </c>
      <c r="R49" s="14">
        <v>0.20165929760347062</v>
      </c>
      <c r="S49" s="14">
        <v>0.33794295295848692</v>
      </c>
      <c r="T49" s="14">
        <v>0.29915950537481045</v>
      </c>
      <c r="U49" s="14">
        <v>0.12015176008939625</v>
      </c>
      <c r="V49" s="14">
        <v>0.14972642105992437</v>
      </c>
      <c r="W49" s="14">
        <v>0.39241001190045</v>
      </c>
      <c r="X49" s="13">
        <v>621.12151946227846</v>
      </c>
      <c r="Y49" s="13">
        <v>645.79293204308783</v>
      </c>
      <c r="Z49" s="13">
        <v>929.02853120176064</v>
      </c>
      <c r="AA49" s="13">
        <v>1.5516856040002986</v>
      </c>
      <c r="AB49" s="13">
        <v>1.4385678092974774</v>
      </c>
      <c r="AC49" s="13">
        <v>1.0917966010640143</v>
      </c>
      <c r="AD49" s="13">
        <v>7.386776318644336</v>
      </c>
      <c r="AE49" s="13">
        <v>5.6277988817276627</v>
      </c>
      <c r="AF49" s="13">
        <v>10.339647772661014</v>
      </c>
      <c r="AG49" s="13">
        <v>6.4774729201592427</v>
      </c>
      <c r="AH49" s="13">
        <v>5.5791231040844673</v>
      </c>
      <c r="AI49" s="13">
        <v>7.0912138379777687</v>
      </c>
      <c r="AJ49" s="13">
        <v>6.8939850196613088</v>
      </c>
      <c r="AK49" s="13">
        <v>4.598772332391361</v>
      </c>
      <c r="AL49" s="13">
        <v>7.9208693503099594</v>
      </c>
      <c r="AM49" s="13">
        <v>5.9712365435546682</v>
      </c>
      <c r="AN49" s="13">
        <v>5.157589395700632</v>
      </c>
      <c r="AO49" s="13">
        <v>4.5979413365887565</v>
      </c>
      <c r="AP49" s="13">
        <v>2.1202343235038836</v>
      </c>
      <c r="AQ49" s="13">
        <v>2.5796265811634216</v>
      </c>
      <c r="AR49" s="13">
        <v>4.301287312354753</v>
      </c>
      <c r="AS49" s="13">
        <v>1.6366044097746737</v>
      </c>
      <c r="AT49" s="13">
        <v>1.7726717571139192</v>
      </c>
      <c r="AU49" s="13">
        <v>4.0951619492109224</v>
      </c>
      <c r="AV49" s="13">
        <v>8.5274135684669197E-2</v>
      </c>
      <c r="AW49" s="13">
        <v>0.1050805279278</v>
      </c>
      <c r="AX49" s="13">
        <v>6.1101524146848003E-2</v>
      </c>
      <c r="AY49" s="13">
        <v>5.4635112471846201E-2</v>
      </c>
      <c r="AZ49" s="13">
        <v>7.5095460546937096E-2</v>
      </c>
      <c r="BA49" s="13">
        <v>0.10139180740336701</v>
      </c>
      <c r="BB49" s="13">
        <v>1.4254499920741901</v>
      </c>
      <c r="BC49" s="13">
        <v>1.4601199429362901</v>
      </c>
      <c r="BD49" s="13">
        <v>1.6421669661873399</v>
      </c>
      <c r="BE49" s="13">
        <v>1.5740319925791999</v>
      </c>
      <c r="BF49" s="13">
        <v>1.4464738862450599</v>
      </c>
      <c r="BG49" s="13">
        <v>1.59420379622467</v>
      </c>
      <c r="BH49" s="8">
        <v>80.939551777125899</v>
      </c>
      <c r="BI49" s="8">
        <v>85.612365044203599</v>
      </c>
      <c r="BJ49" s="8">
        <v>92.476819399189793</v>
      </c>
      <c r="BK49" s="9">
        <v>28.392019600980099</v>
      </c>
      <c r="BL49" s="8">
        <v>29.243012951601902</v>
      </c>
      <c r="BM49" s="8">
        <v>35.702127659574501</v>
      </c>
      <c r="BN49" s="8">
        <v>2831</v>
      </c>
      <c r="BO49" s="8">
        <v>2831</v>
      </c>
      <c r="BP49" s="8">
        <v>2876</v>
      </c>
      <c r="BQ49" s="9">
        <v>91.743412637503198</v>
      </c>
      <c r="BR49" s="8">
        <v>93.970521675817196</v>
      </c>
      <c r="BS49" s="8">
        <v>95.776971453909994</v>
      </c>
      <c r="BT49" s="8">
        <v>90.883782192642002</v>
      </c>
      <c r="BU49" s="8">
        <v>86.075621890547296</v>
      </c>
      <c r="BV49" s="8">
        <v>89.2443983243015</v>
      </c>
      <c r="BW49" s="8">
        <v>33.909530900968001</v>
      </c>
      <c r="BX49" s="8">
        <v>35.122208688591201</v>
      </c>
      <c r="BY49" s="8">
        <v>33.579898770788098</v>
      </c>
      <c r="BZ49" s="8">
        <v>2831</v>
      </c>
      <c r="CA49" s="8">
        <v>2835</v>
      </c>
      <c r="CB49" s="8">
        <v>2885</v>
      </c>
      <c r="CC49" s="9">
        <v>96.237442562947095</v>
      </c>
      <c r="CD49" s="8">
        <v>94.193861731980604</v>
      </c>
      <c r="CE49" s="8">
        <v>94.584387645826794</v>
      </c>
      <c r="CF49" s="13">
        <f t="shared" si="1"/>
        <v>1.0397207499784713</v>
      </c>
      <c r="CG49" s="13">
        <f t="shared" si="0"/>
        <v>1.4957274898574526</v>
      </c>
      <c r="CH49" s="50">
        <v>1</v>
      </c>
      <c r="CI49" s="38">
        <v>10.515068493150684</v>
      </c>
      <c r="CJ49" s="50">
        <v>45</v>
      </c>
      <c r="CK49" s="50">
        <v>148</v>
      </c>
      <c r="CL49" s="80">
        <v>70</v>
      </c>
      <c r="CM49" s="81">
        <v>68</v>
      </c>
      <c r="CN49" s="81">
        <v>67</v>
      </c>
      <c r="CO49" s="81">
        <v>71</v>
      </c>
      <c r="CP49" s="81">
        <v>85</v>
      </c>
      <c r="CQ49" s="81">
        <v>71</v>
      </c>
      <c r="CR49" s="82">
        <v>64</v>
      </c>
      <c r="CS49" s="83">
        <v>13</v>
      </c>
      <c r="CT49" s="84">
        <v>2</v>
      </c>
      <c r="CU49" s="84">
        <v>15</v>
      </c>
    </row>
    <row r="52" spans="1:99" x14ac:dyDescent="0.3">
      <c r="C52" s="2"/>
    </row>
    <row r="53" spans="1:99" x14ac:dyDescent="0.3">
      <c r="C53" s="2"/>
    </row>
    <row r="54" spans="1:99" x14ac:dyDescent="0.3">
      <c r="C54" s="2"/>
    </row>
    <row r="55" spans="1:99" x14ac:dyDescent="0.3">
      <c r="C55" s="2"/>
    </row>
    <row r="56" spans="1:99" x14ac:dyDescent="0.3">
      <c r="C56" s="2"/>
    </row>
    <row r="57" spans="1:99" x14ac:dyDescent="0.3">
      <c r="C57" s="2"/>
    </row>
    <row r="58" spans="1:99" x14ac:dyDescent="0.3">
      <c r="C58" s="2"/>
    </row>
    <row r="59" spans="1:99" x14ac:dyDescent="0.3">
      <c r="C59" s="2"/>
    </row>
    <row r="60" spans="1:99" x14ac:dyDescent="0.3">
      <c r="C60" s="2"/>
    </row>
    <row r="61" spans="1:99" x14ac:dyDescent="0.3">
      <c r="C61" s="2"/>
    </row>
    <row r="62" spans="1:99" x14ac:dyDescent="0.3">
      <c r="C62" s="2"/>
    </row>
    <row r="63" spans="1:99" x14ac:dyDescent="0.3">
      <c r="C63" s="2"/>
    </row>
    <row r="64" spans="1:99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</sheetData>
  <conditionalFormatting sqref="BH26:CB4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0A7B-91C7-4100-B939-0F18B9E5AF48}">
  <dimension ref="A1:I42"/>
  <sheetViews>
    <sheetView tabSelected="1" topLeftCell="A29" workbookViewId="0">
      <selection activeCell="J48" sqref="J48"/>
    </sheetView>
  </sheetViews>
  <sheetFormatPr baseColWidth="10" defaultRowHeight="14.4" x14ac:dyDescent="0.3"/>
  <cols>
    <col min="1" max="2" width="16.5546875" customWidth="1"/>
    <col min="3" max="3" width="34.6640625" customWidth="1"/>
    <col min="9" max="9" width="22" customWidth="1"/>
  </cols>
  <sheetData>
    <row r="1" spans="1:9" ht="15" thickBot="1" x14ac:dyDescent="0.35">
      <c r="A1" s="98" t="s">
        <v>155</v>
      </c>
      <c r="B1" s="98" t="s">
        <v>156</v>
      </c>
      <c r="C1" s="99" t="s">
        <v>157</v>
      </c>
      <c r="D1" s="99"/>
      <c r="E1" s="99"/>
      <c r="F1" s="99" t="s">
        <v>158</v>
      </c>
      <c r="G1" s="98"/>
      <c r="H1" s="100" t="s">
        <v>159</v>
      </c>
      <c r="I1" s="100" t="s">
        <v>160</v>
      </c>
    </row>
    <row r="2" spans="1:9" x14ac:dyDescent="0.3">
      <c r="A2" s="101" t="s">
        <v>161</v>
      </c>
      <c r="B2" s="102"/>
      <c r="C2" s="103" t="s">
        <v>162</v>
      </c>
      <c r="D2" s="103"/>
      <c r="E2" s="103"/>
      <c r="F2" s="104" t="s">
        <v>163</v>
      </c>
      <c r="G2" s="105"/>
      <c r="H2" s="106" t="s">
        <v>164</v>
      </c>
      <c r="I2" s="104" t="s">
        <v>165</v>
      </c>
    </row>
    <row r="3" spans="1:9" x14ac:dyDescent="0.3">
      <c r="A3" s="107" t="s">
        <v>166</v>
      </c>
      <c r="B3" s="108"/>
      <c r="C3" s="109" t="s">
        <v>162</v>
      </c>
      <c r="D3" s="109"/>
      <c r="E3" s="109"/>
      <c r="F3" s="110" t="s">
        <v>167</v>
      </c>
      <c r="G3" s="105"/>
      <c r="H3" s="111" t="s">
        <v>168</v>
      </c>
      <c r="I3" s="110" t="s">
        <v>169</v>
      </c>
    </row>
    <row r="4" spans="1:9" ht="15" thickBot="1" x14ac:dyDescent="0.35">
      <c r="A4" s="107" t="s">
        <v>170</v>
      </c>
      <c r="B4" s="108"/>
      <c r="C4" s="109" t="s">
        <v>171</v>
      </c>
      <c r="D4" s="109"/>
      <c r="E4" s="109"/>
      <c r="F4" s="110"/>
      <c r="G4" s="105"/>
      <c r="H4" s="112" t="s">
        <v>172</v>
      </c>
      <c r="I4" s="113" t="s">
        <v>173</v>
      </c>
    </row>
    <row r="5" spans="1:9" x14ac:dyDescent="0.3">
      <c r="A5" s="107" t="s">
        <v>174</v>
      </c>
      <c r="B5" s="108"/>
      <c r="C5" s="109" t="s">
        <v>175</v>
      </c>
      <c r="D5" s="109"/>
      <c r="E5" s="109"/>
      <c r="F5" s="110"/>
      <c r="G5" s="105"/>
    </row>
    <row r="6" spans="1:9" x14ac:dyDescent="0.3">
      <c r="A6" s="107" t="s">
        <v>176</v>
      </c>
      <c r="B6" s="108" t="s">
        <v>177</v>
      </c>
      <c r="C6" s="109" t="s">
        <v>178</v>
      </c>
      <c r="D6" s="109"/>
      <c r="E6" s="109"/>
      <c r="F6" s="110"/>
      <c r="G6" s="105"/>
    </row>
    <row r="7" spans="1:9" x14ac:dyDescent="0.3">
      <c r="A7" s="107" t="s">
        <v>179</v>
      </c>
      <c r="B7" s="108"/>
      <c r="C7" s="109" t="s">
        <v>180</v>
      </c>
      <c r="D7" s="109"/>
      <c r="E7" s="109"/>
      <c r="F7" s="110" t="s">
        <v>163</v>
      </c>
      <c r="G7" s="105"/>
    </row>
    <row r="8" spans="1:9" x14ac:dyDescent="0.3">
      <c r="A8" s="107" t="s">
        <v>181</v>
      </c>
      <c r="B8" s="108"/>
      <c r="C8" s="109" t="s">
        <v>180</v>
      </c>
      <c r="D8" s="109"/>
      <c r="E8" s="109"/>
      <c r="F8" s="110" t="s">
        <v>167</v>
      </c>
      <c r="G8" s="105"/>
    </row>
    <row r="9" spans="1:9" x14ac:dyDescent="0.3">
      <c r="A9" s="107" t="s">
        <v>182</v>
      </c>
      <c r="B9" s="108"/>
      <c r="C9" s="109" t="s">
        <v>183</v>
      </c>
      <c r="D9" s="109"/>
      <c r="E9" s="109"/>
      <c r="F9" s="110"/>
      <c r="G9" s="105"/>
    </row>
    <row r="10" spans="1:9" ht="15" thickBot="1" x14ac:dyDescent="0.35">
      <c r="A10" s="114" t="s">
        <v>184</v>
      </c>
      <c r="B10" s="115"/>
      <c r="C10" s="116" t="s">
        <v>185</v>
      </c>
      <c r="D10" s="116"/>
      <c r="E10" s="116"/>
      <c r="F10" s="113"/>
      <c r="G10" s="105"/>
    </row>
    <row r="11" spans="1:9" x14ac:dyDescent="0.3">
      <c r="A11" s="117" t="s">
        <v>186</v>
      </c>
      <c r="B11" s="118"/>
      <c r="C11" s="103" t="s">
        <v>187</v>
      </c>
      <c r="D11" s="103"/>
      <c r="E11" s="103"/>
      <c r="F11" s="104" t="s">
        <v>163</v>
      </c>
      <c r="G11" s="105"/>
    </row>
    <row r="12" spans="1:9" x14ac:dyDescent="0.3">
      <c r="A12" s="119" t="s">
        <v>188</v>
      </c>
      <c r="B12" s="120"/>
      <c r="C12" s="109" t="s">
        <v>187</v>
      </c>
      <c r="D12" s="109"/>
      <c r="E12" s="109"/>
      <c r="F12" s="110" t="s">
        <v>167</v>
      </c>
      <c r="G12" s="105"/>
    </row>
    <row r="13" spans="1:9" x14ac:dyDescent="0.3">
      <c r="A13" s="119" t="s">
        <v>189</v>
      </c>
      <c r="B13" s="120" t="s">
        <v>190</v>
      </c>
      <c r="C13" s="109" t="s">
        <v>191</v>
      </c>
      <c r="D13" s="109"/>
      <c r="E13" s="109"/>
      <c r="F13" s="110" t="s">
        <v>163</v>
      </c>
      <c r="G13" s="105"/>
    </row>
    <row r="14" spans="1:9" x14ac:dyDescent="0.3">
      <c r="A14" s="119" t="s">
        <v>192</v>
      </c>
      <c r="B14" s="120"/>
      <c r="C14" s="109" t="s">
        <v>191</v>
      </c>
      <c r="D14" s="109"/>
      <c r="E14" s="109"/>
      <c r="F14" s="110" t="s">
        <v>167</v>
      </c>
      <c r="G14" s="105"/>
    </row>
    <row r="15" spans="1:9" x14ac:dyDescent="0.3">
      <c r="A15" s="119" t="s">
        <v>193</v>
      </c>
      <c r="B15" s="120"/>
      <c r="C15" s="109" t="s">
        <v>194</v>
      </c>
      <c r="D15" s="109"/>
      <c r="E15" s="109"/>
      <c r="F15" s="110" t="s">
        <v>163</v>
      </c>
      <c r="G15" s="105"/>
    </row>
    <row r="16" spans="1:9" ht="15" thickBot="1" x14ac:dyDescent="0.35">
      <c r="A16" s="121" t="s">
        <v>195</v>
      </c>
      <c r="B16" s="122"/>
      <c r="C16" s="116" t="s">
        <v>194</v>
      </c>
      <c r="D16" s="116"/>
      <c r="E16" s="116"/>
      <c r="F16" s="113" t="s">
        <v>167</v>
      </c>
      <c r="G16" s="105"/>
    </row>
    <row r="17" spans="1:7" x14ac:dyDescent="0.3">
      <c r="A17" s="123" t="s">
        <v>196</v>
      </c>
      <c r="B17" s="124"/>
      <c r="C17" s="103" t="s">
        <v>197</v>
      </c>
      <c r="D17" s="103"/>
      <c r="E17" s="103"/>
      <c r="F17" s="104" t="s">
        <v>163</v>
      </c>
      <c r="G17" s="105"/>
    </row>
    <row r="18" spans="1:7" ht="15" thickBot="1" x14ac:dyDescent="0.35">
      <c r="A18" s="125" t="s">
        <v>198</v>
      </c>
      <c r="B18" s="126"/>
      <c r="C18" s="116" t="s">
        <v>197</v>
      </c>
      <c r="D18" s="116"/>
      <c r="E18" s="116"/>
      <c r="F18" s="113" t="s">
        <v>167</v>
      </c>
      <c r="G18" s="105"/>
    </row>
    <row r="19" spans="1:7" x14ac:dyDescent="0.3">
      <c r="A19" s="126" t="s">
        <v>199</v>
      </c>
      <c r="B19" s="126"/>
      <c r="C19" s="103" t="s">
        <v>200</v>
      </c>
      <c r="D19" s="103"/>
      <c r="E19" s="103"/>
      <c r="F19" s="104" t="s">
        <v>163</v>
      </c>
      <c r="G19" s="105"/>
    </row>
    <row r="20" spans="1:7" ht="15" thickBot="1" x14ac:dyDescent="0.35">
      <c r="A20" s="126" t="s">
        <v>201</v>
      </c>
      <c r="B20" s="126"/>
      <c r="C20" s="116" t="s">
        <v>200</v>
      </c>
      <c r="D20" s="116"/>
      <c r="E20" s="116"/>
      <c r="F20" s="113" t="s">
        <v>167</v>
      </c>
      <c r="G20" s="105"/>
    </row>
    <row r="21" spans="1:7" x14ac:dyDescent="0.3">
      <c r="A21" s="125" t="s">
        <v>202</v>
      </c>
      <c r="B21" s="126"/>
      <c r="C21" s="103" t="s">
        <v>203</v>
      </c>
      <c r="D21" s="103"/>
      <c r="E21" s="103"/>
      <c r="F21" s="104" t="s">
        <v>163</v>
      </c>
      <c r="G21" s="105"/>
    </row>
    <row r="22" spans="1:7" x14ac:dyDescent="0.3">
      <c r="A22" s="125" t="s">
        <v>204</v>
      </c>
      <c r="B22" s="126" t="s">
        <v>205</v>
      </c>
      <c r="C22" s="109" t="s">
        <v>206</v>
      </c>
      <c r="D22" s="109"/>
      <c r="E22" s="109"/>
      <c r="F22" s="110" t="s">
        <v>163</v>
      </c>
      <c r="G22" s="105"/>
    </row>
    <row r="23" spans="1:7" x14ac:dyDescent="0.3">
      <c r="A23" s="125" t="s">
        <v>207</v>
      </c>
      <c r="B23" s="126"/>
      <c r="C23" s="109" t="s">
        <v>208</v>
      </c>
      <c r="D23" s="109"/>
      <c r="E23" s="109"/>
      <c r="F23" s="110" t="s">
        <v>163</v>
      </c>
      <c r="G23" s="105"/>
    </row>
    <row r="24" spans="1:7" x14ac:dyDescent="0.3">
      <c r="A24" s="125" t="s">
        <v>209</v>
      </c>
      <c r="B24" s="126"/>
      <c r="C24" s="109" t="s">
        <v>210</v>
      </c>
      <c r="D24" s="109"/>
      <c r="E24" s="109"/>
      <c r="F24" s="110" t="s">
        <v>163</v>
      </c>
      <c r="G24" s="105"/>
    </row>
    <row r="25" spans="1:7" x14ac:dyDescent="0.3">
      <c r="A25" s="125" t="s">
        <v>211</v>
      </c>
      <c r="B25" s="126"/>
      <c r="C25" s="109" t="s">
        <v>212</v>
      </c>
      <c r="D25" s="109"/>
      <c r="E25" s="109"/>
      <c r="F25" s="110" t="s">
        <v>163</v>
      </c>
      <c r="G25" s="105"/>
    </row>
    <row r="26" spans="1:7" x14ac:dyDescent="0.3">
      <c r="A26" s="125" t="s">
        <v>213</v>
      </c>
      <c r="B26" s="126"/>
      <c r="C26" s="109" t="s">
        <v>203</v>
      </c>
      <c r="D26" s="109"/>
      <c r="E26" s="109"/>
      <c r="F26" s="110" t="s">
        <v>167</v>
      </c>
      <c r="G26" s="105"/>
    </row>
    <row r="27" spans="1:7" x14ac:dyDescent="0.3">
      <c r="A27" s="125" t="s">
        <v>214</v>
      </c>
      <c r="B27" s="126"/>
      <c r="C27" s="109" t="s">
        <v>206</v>
      </c>
      <c r="D27" s="109"/>
      <c r="E27" s="109"/>
      <c r="F27" s="110" t="s">
        <v>167</v>
      </c>
      <c r="G27" s="105"/>
    </row>
    <row r="28" spans="1:7" x14ac:dyDescent="0.3">
      <c r="A28" s="125" t="s">
        <v>215</v>
      </c>
      <c r="B28" s="126"/>
      <c r="C28" s="109" t="s">
        <v>208</v>
      </c>
      <c r="D28" s="109"/>
      <c r="E28" s="109"/>
      <c r="F28" s="110" t="s">
        <v>167</v>
      </c>
      <c r="G28" s="105"/>
    </row>
    <row r="29" spans="1:7" x14ac:dyDescent="0.3">
      <c r="A29" s="125" t="s">
        <v>216</v>
      </c>
      <c r="B29" s="126"/>
      <c r="C29" s="109" t="s">
        <v>210</v>
      </c>
      <c r="D29" s="109"/>
      <c r="E29" s="109"/>
      <c r="F29" s="110" t="s">
        <v>167</v>
      </c>
      <c r="G29" s="105"/>
    </row>
    <row r="30" spans="1:7" x14ac:dyDescent="0.3">
      <c r="A30" s="125" t="s">
        <v>217</v>
      </c>
      <c r="B30" s="126"/>
      <c r="C30" s="109" t="s">
        <v>212</v>
      </c>
      <c r="D30" s="109"/>
      <c r="E30" s="109"/>
      <c r="F30" s="110" t="s">
        <v>167</v>
      </c>
      <c r="G30" s="105"/>
    </row>
    <row r="31" spans="1:7" x14ac:dyDescent="0.3">
      <c r="A31" s="129" t="s">
        <v>139</v>
      </c>
      <c r="B31" s="90"/>
      <c r="C31" s="90"/>
      <c r="D31" s="90"/>
      <c r="E31" s="90"/>
      <c r="F31" s="91"/>
    </row>
    <row r="32" spans="1:7" x14ac:dyDescent="0.3">
      <c r="A32" s="127" t="s">
        <v>140</v>
      </c>
      <c r="B32" s="92"/>
      <c r="C32" s="92"/>
      <c r="D32" s="92"/>
      <c r="E32" s="92"/>
      <c r="F32" s="93"/>
    </row>
    <row r="33" spans="1:6" x14ac:dyDescent="0.3">
      <c r="A33" s="127" t="s">
        <v>141</v>
      </c>
      <c r="B33" s="92"/>
      <c r="C33" s="92"/>
      <c r="D33" s="92"/>
      <c r="E33" s="92"/>
      <c r="F33" s="93"/>
    </row>
    <row r="34" spans="1:6" x14ac:dyDescent="0.3">
      <c r="A34" s="127" t="s">
        <v>142</v>
      </c>
      <c r="B34" s="92"/>
      <c r="C34" s="92" t="s">
        <v>149</v>
      </c>
      <c r="D34" s="92"/>
      <c r="E34" s="92"/>
      <c r="F34" s="93"/>
    </row>
    <row r="35" spans="1:6" x14ac:dyDescent="0.3">
      <c r="A35" s="127" t="s">
        <v>143</v>
      </c>
      <c r="B35" s="92"/>
      <c r="C35" s="92"/>
      <c r="D35" s="92"/>
      <c r="E35" s="92"/>
      <c r="F35" s="93"/>
    </row>
    <row r="36" spans="1:6" x14ac:dyDescent="0.3">
      <c r="A36" s="127" t="s">
        <v>144</v>
      </c>
      <c r="B36" s="92"/>
      <c r="C36" s="92"/>
      <c r="D36" s="92"/>
      <c r="E36" s="92"/>
      <c r="F36" s="93"/>
    </row>
    <row r="37" spans="1:6" x14ac:dyDescent="0.3">
      <c r="A37" s="130" t="s">
        <v>145</v>
      </c>
      <c r="B37" s="94"/>
      <c r="C37" s="94"/>
      <c r="D37" s="94"/>
      <c r="E37" s="94"/>
      <c r="F37" s="95"/>
    </row>
    <row r="38" spans="1:6" x14ac:dyDescent="0.3">
      <c r="A38" s="131" t="s">
        <v>150</v>
      </c>
      <c r="B38" s="132"/>
      <c r="C38" s="132"/>
      <c r="D38" s="132"/>
      <c r="E38" s="132"/>
      <c r="F38" s="133"/>
    </row>
    <row r="39" spans="1:6" ht="28.8" x14ac:dyDescent="0.3">
      <c r="A39" s="128" t="s">
        <v>151</v>
      </c>
      <c r="B39" s="96"/>
      <c r="C39" s="96" t="s">
        <v>152</v>
      </c>
      <c r="D39" s="96"/>
      <c r="E39" s="96"/>
      <c r="F39" s="97"/>
    </row>
    <row r="40" spans="1:6" x14ac:dyDescent="0.3">
      <c r="A40" s="128" t="s">
        <v>153</v>
      </c>
      <c r="B40" s="96"/>
      <c r="C40" s="96"/>
      <c r="D40" s="96"/>
      <c r="E40" s="96"/>
      <c r="F40" s="97"/>
    </row>
    <row r="41" spans="1:6" x14ac:dyDescent="0.3">
      <c r="A41" s="134" t="s">
        <v>154</v>
      </c>
      <c r="B41" s="135"/>
      <c r="C41" s="135"/>
      <c r="D41" s="135"/>
      <c r="E41" s="135"/>
      <c r="F41" s="136"/>
    </row>
    <row r="42" spans="1:6" x14ac:dyDescent="0.3">
      <c r="A42" s="105"/>
      <c r="B42" s="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data4stats_Abs</vt:lpstr>
      <vt:lpstr>Descriptif variables</vt:lpstr>
    </vt:vector>
  </TitlesOfParts>
  <Company>UNIVERSITE DE POITIERS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FRADET</dc:creator>
  <cp:lastModifiedBy>lfradet</cp:lastModifiedBy>
  <dcterms:created xsi:type="dcterms:W3CDTF">2023-08-01T12:53:47Z</dcterms:created>
  <dcterms:modified xsi:type="dcterms:W3CDTF">2026-02-06T09:15:03Z</dcterms:modified>
</cp:coreProperties>
</file>